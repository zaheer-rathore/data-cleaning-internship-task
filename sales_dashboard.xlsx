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3FF53DA8-A3F4-402F-A8AC-5C8C41019220}" xr6:coauthVersionLast="47" xr6:coauthVersionMax="47" xr10:uidLastSave="{00000000-0000-0000-0000-000000000000}"/>
  <bookViews>
    <workbookView xWindow="-108" yWindow="-108" windowWidth="23256" windowHeight="13176" firstSheet="3" activeTab="5" xr2:uid="{00000000-000D-0000-FFFF-FFFF00000000}"/>
  </bookViews>
  <sheets>
    <sheet name="Raw Data" sheetId="1" r:id="rId1"/>
    <sheet name="cleaning summary" sheetId="3" r:id="rId2"/>
    <sheet name="Learning Guide" sheetId="2" r:id="rId3"/>
    <sheet name="EDA analysis" sheetId="6" r:id="rId4"/>
    <sheet name="calc" sheetId="8" r:id="rId5"/>
    <sheet name="dashboard" sheetId="9" r:id="rId6"/>
    <sheet name="Sheet1" sheetId="10" state="hidden" r:id="rId7"/>
    <sheet name="Sheet2" sheetId="11" state="hidden" r:id="rId8"/>
    <sheet name="Sheet3" sheetId="12" state="hidden" r:id="rId9"/>
    <sheet name="Sheet4" sheetId="13" state="hidden" r:id="rId10"/>
    <sheet name="Sheet5" sheetId="14" state="hidden" r:id="rId11"/>
    <sheet name="Sheet6" sheetId="15" state="hidden" r:id="rId12"/>
    <sheet name="data" sheetId="7" r:id="rId13"/>
  </sheets>
  <definedNames>
    <definedName name="Slicer_Category">#N/A</definedName>
    <definedName name="Slicer_city_clean">#N/A</definedName>
    <definedName name="Slicer_Order_Status">#N/A</definedName>
  </definedNames>
  <calcPr calcId="191029"/>
  <pivotCaches>
    <pivotCache cacheId="1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9" l="1"/>
  <c r="B3" i="9"/>
  <c r="F3" i="9" s="1"/>
  <c r="N301" i="7"/>
  <c r="N300" i="7"/>
  <c r="N299" i="7"/>
  <c r="N298" i="7"/>
  <c r="N297" i="7"/>
  <c r="N296" i="7"/>
  <c r="N295" i="7"/>
  <c r="N294" i="7"/>
  <c r="N293" i="7"/>
  <c r="N292" i="7"/>
  <c r="N291" i="7"/>
  <c r="N290" i="7"/>
  <c r="N289" i="7"/>
  <c r="N288" i="7"/>
  <c r="N287" i="7"/>
  <c r="N286" i="7"/>
  <c r="N285" i="7"/>
  <c r="N284" i="7"/>
  <c r="N283" i="7"/>
  <c r="N282" i="7"/>
  <c r="N281" i="7"/>
  <c r="N280" i="7"/>
  <c r="N279" i="7"/>
  <c r="N278" i="7"/>
  <c r="N277" i="7"/>
  <c r="N276" i="7"/>
  <c r="N275" i="7"/>
  <c r="N274" i="7"/>
  <c r="N273" i="7"/>
  <c r="N272" i="7"/>
  <c r="N271" i="7"/>
  <c r="N270" i="7"/>
  <c r="N269" i="7"/>
  <c r="N268" i="7"/>
  <c r="N267" i="7"/>
  <c r="N266" i="7"/>
  <c r="N265" i="7"/>
  <c r="N264" i="7"/>
  <c r="N263" i="7"/>
  <c r="N262" i="7"/>
  <c r="N261" i="7"/>
  <c r="N260" i="7"/>
  <c r="N259" i="7"/>
  <c r="N258" i="7"/>
  <c r="N257" i="7"/>
  <c r="N256" i="7"/>
  <c r="N255" i="7"/>
  <c r="N254" i="7"/>
  <c r="N253" i="7"/>
  <c r="N252" i="7"/>
  <c r="N251" i="7"/>
  <c r="N250" i="7"/>
  <c r="N249" i="7"/>
  <c r="N248" i="7"/>
  <c r="N247" i="7"/>
  <c r="N246" i="7"/>
  <c r="N245" i="7"/>
  <c r="N244" i="7"/>
  <c r="N243" i="7"/>
  <c r="N242" i="7"/>
  <c r="N241" i="7"/>
  <c r="N240" i="7"/>
  <c r="N239" i="7"/>
  <c r="N238" i="7"/>
  <c r="N237" i="7"/>
  <c r="N236" i="7"/>
  <c r="N235" i="7"/>
  <c r="N234" i="7"/>
  <c r="N233" i="7"/>
  <c r="N232" i="7"/>
  <c r="N231" i="7"/>
  <c r="N230" i="7"/>
  <c r="N229" i="7"/>
  <c r="N228" i="7"/>
  <c r="N227" i="7"/>
  <c r="N226" i="7"/>
  <c r="N225" i="7"/>
  <c r="N224" i="7"/>
  <c r="N223" i="7"/>
  <c r="N222" i="7"/>
  <c r="N221" i="7"/>
  <c r="N220" i="7"/>
  <c r="N219" i="7"/>
  <c r="N218" i="7"/>
  <c r="N217" i="7"/>
  <c r="N216" i="7"/>
  <c r="N215" i="7"/>
  <c r="N214" i="7"/>
  <c r="N213" i="7"/>
  <c r="N212" i="7"/>
  <c r="N211" i="7"/>
  <c r="N210" i="7"/>
  <c r="N209" i="7"/>
  <c r="N208" i="7"/>
  <c r="N207" i="7"/>
  <c r="N206" i="7"/>
  <c r="N205" i="7"/>
  <c r="N204" i="7"/>
  <c r="N203" i="7"/>
  <c r="N202" i="7"/>
  <c r="N201" i="7"/>
  <c r="N200" i="7"/>
  <c r="N199" i="7"/>
  <c r="N198" i="7"/>
  <c r="N197" i="7"/>
  <c r="N196" i="7"/>
  <c r="N195" i="7"/>
  <c r="N194" i="7"/>
  <c r="N193" i="7"/>
  <c r="N192" i="7"/>
  <c r="N191" i="7"/>
  <c r="N190" i="7"/>
  <c r="N189" i="7"/>
  <c r="N188" i="7"/>
  <c r="N187" i="7"/>
  <c r="N186" i="7"/>
  <c r="N185" i="7"/>
  <c r="N184" i="7"/>
  <c r="N183" i="7"/>
  <c r="N182" i="7"/>
  <c r="N181" i="7"/>
  <c r="N180" i="7"/>
  <c r="N179" i="7"/>
  <c r="N178" i="7"/>
  <c r="N177" i="7"/>
  <c r="N176" i="7"/>
  <c r="N175" i="7"/>
  <c r="N174" i="7"/>
  <c r="N173" i="7"/>
  <c r="N172" i="7"/>
  <c r="N171" i="7"/>
  <c r="N170" i="7"/>
  <c r="N169" i="7"/>
  <c r="N168" i="7"/>
  <c r="N167" i="7"/>
  <c r="N166" i="7"/>
  <c r="N165" i="7"/>
  <c r="N164" i="7"/>
  <c r="N163" i="7"/>
  <c r="N162" i="7"/>
  <c r="N161" i="7"/>
  <c r="N160" i="7"/>
  <c r="N159" i="7"/>
  <c r="N158" i="7"/>
  <c r="N157" i="7"/>
  <c r="N156" i="7"/>
  <c r="N155" i="7"/>
  <c r="N154" i="7"/>
  <c r="N153" i="7"/>
  <c r="N152" i="7"/>
  <c r="N151" i="7"/>
  <c r="N150" i="7"/>
  <c r="N149" i="7"/>
  <c r="N148" i="7"/>
  <c r="N147" i="7"/>
  <c r="N146" i="7"/>
  <c r="N145" i="7"/>
  <c r="N144" i="7"/>
  <c r="N143" i="7"/>
  <c r="N142" i="7"/>
  <c r="N141" i="7"/>
  <c r="N140" i="7"/>
  <c r="N139" i="7"/>
  <c r="N138" i="7"/>
  <c r="N137" i="7"/>
  <c r="N136" i="7"/>
  <c r="N135" i="7"/>
  <c r="N134" i="7"/>
  <c r="N133" i="7"/>
  <c r="N132" i="7"/>
  <c r="N131" i="7"/>
  <c r="N130" i="7"/>
  <c r="N129" i="7"/>
  <c r="N128" i="7"/>
  <c r="N127" i="7"/>
  <c r="N126" i="7"/>
  <c r="N125" i="7"/>
  <c r="N124" i="7"/>
  <c r="N123" i="7"/>
  <c r="N122" i="7"/>
  <c r="N121" i="7"/>
  <c r="N120" i="7"/>
  <c r="N119" i="7"/>
  <c r="N118" i="7"/>
  <c r="N117" i="7"/>
  <c r="N116" i="7"/>
  <c r="N115" i="7"/>
  <c r="N114" i="7"/>
  <c r="N113" i="7"/>
  <c r="N112" i="7"/>
  <c r="N111" i="7"/>
  <c r="N110" i="7"/>
  <c r="N109" i="7"/>
  <c r="N108" i="7"/>
  <c r="N107" i="7"/>
  <c r="N106" i="7"/>
  <c r="N105" i="7"/>
  <c r="N104" i="7"/>
  <c r="N103" i="7"/>
  <c r="N102" i="7"/>
  <c r="N101" i="7"/>
  <c r="N100" i="7"/>
  <c r="N99" i="7"/>
  <c r="N98" i="7"/>
  <c r="N97" i="7"/>
  <c r="N96" i="7"/>
  <c r="N95" i="7"/>
  <c r="N94" i="7"/>
  <c r="N93" i="7"/>
  <c r="N92" i="7"/>
  <c r="N91" i="7"/>
  <c r="N90" i="7"/>
  <c r="N89" i="7"/>
  <c r="N88" i="7"/>
  <c r="N87" i="7"/>
  <c r="N86" i="7"/>
  <c r="N85" i="7"/>
  <c r="N84" i="7"/>
  <c r="N83" i="7"/>
  <c r="N82" i="7"/>
  <c r="N81" i="7"/>
  <c r="N80" i="7"/>
  <c r="N79" i="7"/>
  <c r="N78" i="7"/>
  <c r="N77" i="7"/>
  <c r="N76" i="7"/>
  <c r="N75" i="7"/>
  <c r="N74" i="7"/>
  <c r="N73" i="7"/>
  <c r="N72" i="7"/>
  <c r="N71" i="7"/>
  <c r="N70" i="7"/>
  <c r="N69" i="7"/>
  <c r="N68" i="7"/>
  <c r="N67" i="7"/>
  <c r="N66" i="7"/>
  <c r="N65" i="7"/>
  <c r="N64" i="7"/>
  <c r="N63" i="7"/>
  <c r="N62" i="7"/>
  <c r="N61" i="7"/>
  <c r="N60" i="7"/>
  <c r="N59" i="7"/>
  <c r="N58" i="7"/>
  <c r="N57" i="7"/>
  <c r="N56" i="7"/>
  <c r="N55" i="7"/>
  <c r="N54" i="7"/>
  <c r="N53" i="7"/>
  <c r="N52" i="7"/>
  <c r="N51" i="7"/>
  <c r="N50" i="7"/>
  <c r="N49" i="7"/>
  <c r="N48" i="7"/>
  <c r="N47" i="7"/>
  <c r="N46" i="7"/>
  <c r="N45" i="7"/>
  <c r="N44" i="7"/>
  <c r="N43" i="7"/>
  <c r="N42" i="7"/>
  <c r="N41" i="7"/>
  <c r="N40" i="7"/>
  <c r="N39" i="7"/>
  <c r="N38" i="7"/>
  <c r="N37" i="7"/>
  <c r="N36" i="7"/>
  <c r="N35" i="7"/>
  <c r="N34" i="7"/>
  <c r="N33" i="7"/>
  <c r="N32" i="7"/>
  <c r="N31" i="7"/>
  <c r="N30" i="7"/>
  <c r="N29" i="7"/>
  <c r="N28" i="7"/>
  <c r="N27" i="7"/>
  <c r="N26" i="7"/>
  <c r="N25" i="7"/>
  <c r="N24" i="7"/>
  <c r="N23" i="7"/>
  <c r="N22" i="7"/>
  <c r="N21" i="7"/>
  <c r="N20" i="7"/>
  <c r="N19" i="7"/>
  <c r="N18" i="7"/>
  <c r="N17" i="7"/>
  <c r="N16" i="7"/>
  <c r="N15" i="7"/>
  <c r="N14" i="7"/>
  <c r="N13" i="7"/>
  <c r="N12" i="7"/>
  <c r="N11" i="7"/>
  <c r="N10" i="7"/>
  <c r="N9" i="7"/>
  <c r="N8" i="7"/>
  <c r="N7" i="7"/>
  <c r="N6" i="7"/>
  <c r="N5" i="7"/>
  <c r="N4" i="7"/>
  <c r="N3" i="7"/>
  <c r="N2"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C51" i="6" a="1"/>
  <c r="C6" i="6"/>
  <c r="C7" i="6"/>
  <c r="C8" i="6"/>
  <c r="C9" i="6"/>
  <c r="C10" i="6"/>
  <c r="C11" i="6"/>
  <c r="C102" i="6"/>
  <c r="C101" i="6"/>
  <c r="C100" i="6"/>
  <c r="C99" i="6" a="1"/>
  <c r="C98" i="6" a="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2" i="1"/>
  <c r="M302" i="1"/>
  <c r="M303" i="1"/>
  <c r="C63" i="6" a="1"/>
  <c r="C62" i="6" a="1"/>
  <c r="C49" i="6" a="1"/>
  <c r="C42" i="6"/>
  <c r="C41" i="6"/>
  <c r="C40" i="6"/>
  <c r="C39" i="6"/>
  <c r="C32" i="6"/>
  <c r="C19" i="6" a="1"/>
  <c r="C18" i="6" a="1"/>
  <c r="C17" i="6" a="1"/>
  <c r="L30" i="1"/>
  <c r="L2" i="1"/>
  <c r="C5" i="6"/>
  <c r="L3" i="1"/>
  <c r="L4" i="1"/>
  <c r="C52" i="6" s="1" a="1"/>
  <c r="L5" i="1"/>
  <c r="L6" i="1"/>
  <c r="L7" i="1"/>
  <c r="L8" i="1"/>
  <c r="L9" i="1"/>
  <c r="L10" i="1"/>
  <c r="L11" i="1"/>
  <c r="L12" i="1"/>
  <c r="L13" i="1"/>
  <c r="L14" i="1"/>
  <c r="L15" i="1"/>
  <c r="L16" i="1"/>
  <c r="L17" i="1"/>
  <c r="L18" i="1"/>
  <c r="L19" i="1"/>
  <c r="L20" i="1"/>
  <c r="L21" i="1"/>
  <c r="L22" i="1"/>
  <c r="L23" i="1"/>
  <c r="L24" i="1"/>
  <c r="L25" i="1"/>
  <c r="L26" i="1"/>
  <c r="L27" i="1"/>
  <c r="L28" i="1"/>
  <c r="L29"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J302" i="1"/>
  <c r="J303" i="1"/>
  <c r="J301" i="1"/>
  <c r="J300" i="1"/>
  <c r="J290" i="1"/>
  <c r="J280" i="1"/>
  <c r="J270" i="1"/>
  <c r="J260" i="1"/>
  <c r="J250" i="1"/>
  <c r="J240" i="1"/>
  <c r="J230" i="1"/>
  <c r="J220" i="1"/>
  <c r="J210" i="1"/>
  <c r="J209" i="1"/>
  <c r="J208" i="1"/>
  <c r="J207" i="1"/>
  <c r="J206" i="1"/>
  <c r="J205" i="1"/>
  <c r="J204" i="1"/>
  <c r="J203" i="1"/>
  <c r="J202" i="1"/>
  <c r="J201" i="1"/>
  <c r="J200" i="1"/>
  <c r="J190" i="1"/>
  <c r="J180" i="1"/>
  <c r="J170" i="1"/>
  <c r="J160" i="1"/>
  <c r="J150" i="1"/>
  <c r="J140" i="1"/>
  <c r="J130" i="1"/>
  <c r="J120" i="1"/>
  <c r="J110" i="1"/>
  <c r="J109" i="1"/>
  <c r="J108" i="1"/>
  <c r="J107" i="1"/>
  <c r="J106" i="1"/>
  <c r="J105" i="1"/>
  <c r="J104" i="1"/>
  <c r="J103" i="1"/>
  <c r="J102" i="1"/>
  <c r="J101" i="1"/>
  <c r="J100" i="1"/>
  <c r="J90" i="1"/>
  <c r="J80" i="1"/>
  <c r="J70" i="1"/>
  <c r="J60" i="1"/>
  <c r="J50" i="1"/>
  <c r="J40" i="1"/>
  <c r="J30" i="1"/>
  <c r="J20" i="1"/>
  <c r="J10" i="1"/>
  <c r="J2" i="1"/>
  <c r="J3" i="1"/>
  <c r="J4" i="1"/>
  <c r="J5" i="1"/>
  <c r="J6" i="1"/>
  <c r="J7" i="1"/>
  <c r="J8" i="1"/>
  <c r="J9" i="1"/>
  <c r="J11" i="1"/>
  <c r="J12" i="1"/>
  <c r="J13" i="1"/>
  <c r="J14" i="1"/>
  <c r="J15" i="1"/>
  <c r="J16" i="1"/>
  <c r="J17" i="1"/>
  <c r="J18" i="1"/>
  <c r="J19" i="1"/>
  <c r="J21" i="1"/>
  <c r="J22" i="1"/>
  <c r="J23" i="1"/>
  <c r="J24" i="1"/>
  <c r="J25" i="1"/>
  <c r="J26" i="1"/>
  <c r="J27" i="1"/>
  <c r="J28" i="1"/>
  <c r="J29" i="1"/>
  <c r="J31" i="1"/>
  <c r="J32" i="1"/>
  <c r="J33" i="1"/>
  <c r="J34" i="1"/>
  <c r="J35" i="1"/>
  <c r="J36" i="1"/>
  <c r="J37" i="1"/>
  <c r="J38" i="1"/>
  <c r="J39" i="1"/>
  <c r="J41" i="1"/>
  <c r="J42" i="1"/>
  <c r="J43" i="1"/>
  <c r="J44" i="1"/>
  <c r="J45" i="1"/>
  <c r="J46" i="1"/>
  <c r="J47" i="1"/>
  <c r="J48" i="1"/>
  <c r="J49" i="1"/>
  <c r="J51" i="1"/>
  <c r="J52" i="1"/>
  <c r="J53" i="1"/>
  <c r="J54" i="1"/>
  <c r="J55" i="1"/>
  <c r="J56" i="1"/>
  <c r="J57" i="1"/>
  <c r="J58" i="1"/>
  <c r="J59" i="1"/>
  <c r="J61" i="1"/>
  <c r="J62" i="1"/>
  <c r="J63" i="1"/>
  <c r="J64" i="1"/>
  <c r="J65" i="1"/>
  <c r="J66" i="1"/>
  <c r="J67" i="1"/>
  <c r="J68" i="1"/>
  <c r="J69" i="1"/>
  <c r="J71" i="1"/>
  <c r="J72" i="1"/>
  <c r="J73" i="1"/>
  <c r="J74" i="1"/>
  <c r="J75" i="1"/>
  <c r="J76" i="1"/>
  <c r="J77" i="1"/>
  <c r="J78" i="1"/>
  <c r="J79" i="1"/>
  <c r="J81" i="1"/>
  <c r="J82" i="1"/>
  <c r="J83" i="1"/>
  <c r="J84" i="1"/>
  <c r="J85" i="1"/>
  <c r="J86" i="1"/>
  <c r="J87" i="1"/>
  <c r="J88" i="1"/>
  <c r="J89" i="1"/>
  <c r="J91" i="1"/>
  <c r="J92" i="1"/>
  <c r="J93" i="1"/>
  <c r="J94" i="1"/>
  <c r="J95" i="1"/>
  <c r="J96" i="1"/>
  <c r="J97" i="1"/>
  <c r="J98" i="1"/>
  <c r="J99" i="1"/>
  <c r="J111" i="1"/>
  <c r="J112" i="1"/>
  <c r="J113" i="1"/>
  <c r="J114" i="1"/>
  <c r="J115" i="1"/>
  <c r="J116" i="1"/>
  <c r="J117" i="1"/>
  <c r="J118" i="1"/>
  <c r="J119" i="1"/>
  <c r="J121" i="1"/>
  <c r="J122" i="1"/>
  <c r="J123" i="1"/>
  <c r="J124" i="1"/>
  <c r="J125" i="1"/>
  <c r="J126" i="1"/>
  <c r="J127" i="1"/>
  <c r="J128" i="1"/>
  <c r="J129" i="1"/>
  <c r="J131" i="1"/>
  <c r="J132" i="1"/>
  <c r="J133" i="1"/>
  <c r="J134" i="1"/>
  <c r="J135" i="1"/>
  <c r="J136" i="1"/>
  <c r="J137" i="1"/>
  <c r="J138" i="1"/>
  <c r="J139" i="1"/>
  <c r="J141" i="1"/>
  <c r="J142" i="1"/>
  <c r="J143" i="1"/>
  <c r="J144" i="1"/>
  <c r="J145" i="1"/>
  <c r="J146" i="1"/>
  <c r="J147" i="1"/>
  <c r="J148" i="1"/>
  <c r="J149" i="1"/>
  <c r="J151" i="1"/>
  <c r="J152" i="1"/>
  <c r="J153" i="1"/>
  <c r="J154" i="1"/>
  <c r="J155" i="1"/>
  <c r="J156" i="1"/>
  <c r="J157" i="1"/>
  <c r="J158" i="1"/>
  <c r="J159" i="1"/>
  <c r="J161" i="1"/>
  <c r="J162" i="1"/>
  <c r="J163" i="1"/>
  <c r="J164" i="1"/>
  <c r="J165" i="1"/>
  <c r="J166" i="1"/>
  <c r="J167" i="1"/>
  <c r="J168" i="1"/>
  <c r="J169" i="1"/>
  <c r="J171" i="1"/>
  <c r="J172" i="1"/>
  <c r="J173" i="1"/>
  <c r="J174" i="1"/>
  <c r="J175" i="1"/>
  <c r="J176" i="1"/>
  <c r="J177" i="1"/>
  <c r="J178" i="1"/>
  <c r="J179" i="1"/>
  <c r="J181" i="1"/>
  <c r="J182" i="1"/>
  <c r="J183" i="1"/>
  <c r="J184" i="1"/>
  <c r="J185" i="1"/>
  <c r="J186" i="1"/>
  <c r="J187" i="1"/>
  <c r="J188" i="1"/>
  <c r="J189" i="1"/>
  <c r="J191" i="1"/>
  <c r="J192" i="1"/>
  <c r="J193" i="1"/>
  <c r="J194" i="1"/>
  <c r="J195" i="1"/>
  <c r="J196" i="1"/>
  <c r="J197" i="1"/>
  <c r="J198" i="1"/>
  <c r="J199" i="1"/>
  <c r="J211" i="1"/>
  <c r="J212" i="1"/>
  <c r="J213" i="1"/>
  <c r="J214" i="1"/>
  <c r="J215" i="1"/>
  <c r="J216" i="1"/>
  <c r="J217" i="1"/>
  <c r="J218" i="1"/>
  <c r="J219" i="1"/>
  <c r="J221" i="1"/>
  <c r="J222" i="1"/>
  <c r="J223" i="1"/>
  <c r="J224" i="1"/>
  <c r="J225" i="1"/>
  <c r="J226" i="1"/>
  <c r="J227" i="1"/>
  <c r="J228" i="1"/>
  <c r="J229" i="1"/>
  <c r="J231" i="1"/>
  <c r="J232" i="1"/>
  <c r="J233" i="1"/>
  <c r="J234" i="1"/>
  <c r="J235" i="1"/>
  <c r="J236" i="1"/>
  <c r="J237" i="1"/>
  <c r="J238" i="1"/>
  <c r="J239" i="1"/>
  <c r="J241" i="1"/>
  <c r="J242" i="1"/>
  <c r="J243" i="1"/>
  <c r="J244" i="1"/>
  <c r="J245" i="1"/>
  <c r="J246" i="1"/>
  <c r="J247" i="1"/>
  <c r="J248" i="1"/>
  <c r="J249" i="1"/>
  <c r="J251" i="1"/>
  <c r="J252" i="1"/>
  <c r="J253" i="1"/>
  <c r="J254" i="1"/>
  <c r="J255" i="1"/>
  <c r="J256" i="1"/>
  <c r="J257" i="1"/>
  <c r="J258" i="1"/>
  <c r="J259" i="1"/>
  <c r="J261" i="1"/>
  <c r="J262" i="1"/>
  <c r="J263" i="1"/>
  <c r="J264" i="1"/>
  <c r="J265" i="1"/>
  <c r="J266" i="1"/>
  <c r="J267" i="1"/>
  <c r="J268" i="1"/>
  <c r="J269" i="1"/>
  <c r="J271" i="1"/>
  <c r="J272" i="1"/>
  <c r="J273" i="1"/>
  <c r="J274" i="1"/>
  <c r="J275" i="1"/>
  <c r="J276" i="1"/>
  <c r="J277" i="1"/>
  <c r="J278" i="1"/>
  <c r="J279" i="1"/>
  <c r="J281" i="1"/>
  <c r="J282" i="1"/>
  <c r="J283" i="1"/>
  <c r="J284" i="1"/>
  <c r="J285" i="1"/>
  <c r="J286" i="1"/>
  <c r="J287" i="1"/>
  <c r="J288" i="1"/>
  <c r="J289" i="1"/>
  <c r="J291" i="1"/>
  <c r="J292" i="1"/>
  <c r="J293" i="1"/>
  <c r="J294" i="1"/>
  <c r="J295" i="1"/>
  <c r="J296" i="1"/>
  <c r="J297" i="1"/>
  <c r="J298" i="1"/>
  <c r="J299" i="1"/>
  <c r="C50" i="6" l="1" a="1"/>
  <c r="C26" i="6"/>
  <c r="C53" i="6" a="1"/>
  <c r="C28" i="6"/>
  <c r="C54" i="6" a="1"/>
  <c r="C29" i="6"/>
  <c r="C55" i="6" a="1"/>
  <c r="C30" i="6"/>
  <c r="C56" i="6" a="1"/>
  <c r="C31" i="6"/>
  <c r="C27" i="6"/>
  <c r="C33" i="6"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<sst xmlns="http://schemas.openxmlformats.org/spreadsheetml/2006/main" count="5086" uniqueCount="596">
  <si>
    <t>Order_ID</t>
  </si>
  <si>
    <t>Customer_ID</t>
  </si>
  <si>
    <t>Order_Date</t>
  </si>
  <si>
    <t>Product</t>
  </si>
  <si>
    <t>Category</t>
  </si>
  <si>
    <t>Quantity</t>
  </si>
  <si>
    <t>Unit_Price</t>
  </si>
  <si>
    <t>City</t>
  </si>
  <si>
    <t>Payment_Method</t>
  </si>
  <si>
    <t>Order_Status</t>
  </si>
  <si>
    <t>Smartphone</t>
  </si>
  <si>
    <t>Electronics</t>
  </si>
  <si>
    <t>1</t>
  </si>
  <si>
    <t>Delhi</t>
  </si>
  <si>
    <t>Credit Card</t>
  </si>
  <si>
    <t>Completed</t>
  </si>
  <si>
    <t>Laptop</t>
  </si>
  <si>
    <t>Mumbai</t>
  </si>
  <si>
    <t>Pending</t>
  </si>
  <si>
    <t>Chennai</t>
  </si>
  <si>
    <t>UPI</t>
  </si>
  <si>
    <t>Cancelled</t>
  </si>
  <si>
    <t>Mouse</t>
  </si>
  <si>
    <t>Accessories</t>
  </si>
  <si>
    <t>Pune</t>
  </si>
  <si>
    <t>Cash</t>
  </si>
  <si>
    <t>Monitor</t>
  </si>
  <si>
    <t>Debit Card</t>
  </si>
  <si>
    <t>Keyboard</t>
  </si>
  <si>
    <t>Kolkata</t>
  </si>
  <si>
    <t>Smartwatch</t>
  </si>
  <si>
    <t>Wearables</t>
  </si>
  <si>
    <t>Net Banking</t>
  </si>
  <si>
    <t xml:space="preserve"> Laptop</t>
  </si>
  <si>
    <t>Tablet</t>
  </si>
  <si>
    <t>Hyderabad</t>
  </si>
  <si>
    <t>Headphones</t>
  </si>
  <si>
    <t>Jaipur</t>
  </si>
  <si>
    <t>Credit card</t>
  </si>
  <si>
    <t xml:space="preserve">UPI </t>
  </si>
  <si>
    <t>4</t>
  </si>
  <si>
    <t>3</t>
  </si>
  <si>
    <t>Step</t>
  </si>
  <si>
    <t>What to learn</t>
  </si>
  <si>
    <t>1. Inspect the dataset</t>
  </si>
  <si>
    <t>Understand rows, columns, fields and data types</t>
  </si>
  <si>
    <t>2. Find missing values</t>
  </si>
  <si>
    <t>Use filters and blanks to identify missing data</t>
  </si>
  <si>
    <t>3. Find duplicate records</t>
  </si>
  <si>
    <t>Use Remove Duplicates</t>
  </si>
  <si>
    <t>4. Standardize inconsistent text</t>
  </si>
  <si>
    <t>Use TRIM, Find/Replace and consistent labels</t>
  </si>
  <si>
    <t>5. Fix date format</t>
  </si>
  <si>
    <t>Convert dates into one format</t>
  </si>
  <si>
    <t>6. Fix numeric values/data types</t>
  </si>
  <si>
    <t>Convert Quantity and Unit_Price to numbers</t>
  </si>
  <si>
    <t>7. Check incorrect values</t>
  </si>
  <si>
    <t>Use sorting/filtering to spot impossible values</t>
  </si>
  <si>
    <t>8. Create a Total_Sales column</t>
  </si>
  <si>
    <t>Quantity × Unit_Price</t>
  </si>
  <si>
    <t>9. Create a cleaning summary</t>
  </si>
  <si>
    <t>Document what you changed</t>
  </si>
  <si>
    <t>10. Save the cleaned dataset</t>
  </si>
  <si>
    <t>Keep raw and cleaned versions separate</t>
  </si>
  <si>
    <t xml:space="preserve"> Jaipur</t>
  </si>
  <si>
    <t>unknown</t>
  </si>
  <si>
    <t xml:space="preserve"> Mumbai</t>
  </si>
  <si>
    <t>Bangalore</t>
  </si>
  <si>
    <t>Clean_Payment</t>
  </si>
  <si>
    <t>ORD1111</t>
  </si>
  <si>
    <t>CUST1114</t>
  </si>
  <si>
    <t>ORD1112</t>
  </si>
  <si>
    <t>CUST1136</t>
  </si>
  <si>
    <t>ORD1113</t>
  </si>
  <si>
    <t>CUST1116</t>
  </si>
  <si>
    <t>ORD1114</t>
  </si>
  <si>
    <t>CUST1149</t>
  </si>
  <si>
    <t>ORD1115</t>
  </si>
  <si>
    <t>CUST1161</t>
  </si>
  <si>
    <t>ORD1116</t>
  </si>
  <si>
    <t>CUST1192</t>
  </si>
  <si>
    <t>ORD1117</t>
  </si>
  <si>
    <t>CUST1129</t>
  </si>
  <si>
    <t>ORD1118</t>
  </si>
  <si>
    <t>ORD1119</t>
  </si>
  <si>
    <t>CUST1198</t>
  </si>
  <si>
    <t>CUST1115</t>
  </si>
  <si>
    <t>CUST1122</t>
  </si>
  <si>
    <t>CUST1132</t>
  </si>
  <si>
    <t>CUST1143</t>
  </si>
  <si>
    <t>CUST1185</t>
  </si>
  <si>
    <t>CUST1125</t>
  </si>
  <si>
    <t>CUST1197</t>
  </si>
  <si>
    <t>CUST1137</t>
  </si>
  <si>
    <t>CUST1175</t>
  </si>
  <si>
    <t>ORD1121</t>
  </si>
  <si>
    <t>CUST1141</t>
  </si>
  <si>
    <t>CUST1157</t>
  </si>
  <si>
    <t>ORD1122</t>
  </si>
  <si>
    <t>CUST1127</t>
  </si>
  <si>
    <t>ORD1123</t>
  </si>
  <si>
    <t>CUST1199</t>
  </si>
  <si>
    <t>ORD1124</t>
  </si>
  <si>
    <t>CUST1117</t>
  </si>
  <si>
    <t>ORD1125</t>
  </si>
  <si>
    <t>CUST1123</t>
  </si>
  <si>
    <t>ORD1126</t>
  </si>
  <si>
    <t>CUST1126</t>
  </si>
  <si>
    <t>ORD1127</t>
  </si>
  <si>
    <t>CUST1166</t>
  </si>
  <si>
    <t>ORD1128</t>
  </si>
  <si>
    <t>CUST1178</t>
  </si>
  <si>
    <t>ORD1129</t>
  </si>
  <si>
    <t>CUST1186</t>
  </si>
  <si>
    <t>ORD1131</t>
  </si>
  <si>
    <t>CUST1187</t>
  </si>
  <si>
    <t>ORD1132</t>
  </si>
  <si>
    <t>ORD1133</t>
  </si>
  <si>
    <t>CUST1111</t>
  </si>
  <si>
    <t>ORD1134</t>
  </si>
  <si>
    <t>CUST1158</t>
  </si>
  <si>
    <t>ORD1135</t>
  </si>
  <si>
    <t>ORD1136</t>
  </si>
  <si>
    <t>CUST1171</t>
  </si>
  <si>
    <t>ORD1137</t>
  </si>
  <si>
    <t>CUST1169</t>
  </si>
  <si>
    <t>ORD1138</t>
  </si>
  <si>
    <t>CUST1181</t>
  </si>
  <si>
    <t>ORD1139</t>
  </si>
  <si>
    <t>CUST1159</t>
  </si>
  <si>
    <t>ORD1141</t>
  </si>
  <si>
    <t>CUST1119</t>
  </si>
  <si>
    <t>CUST1133</t>
  </si>
  <si>
    <t>ORD1142</t>
  </si>
  <si>
    <t>CUST1176</t>
  </si>
  <si>
    <t>ORD1143</t>
  </si>
  <si>
    <t>CUST1163</t>
  </si>
  <si>
    <t>ORD1144</t>
  </si>
  <si>
    <t>CUST1135</t>
  </si>
  <si>
    <t>ORD1145</t>
  </si>
  <si>
    <t>CUST1128</t>
  </si>
  <si>
    <t>ORD1146</t>
  </si>
  <si>
    <t>ORD1147</t>
  </si>
  <si>
    <t>CUST1196</t>
  </si>
  <si>
    <t>ORD1148</t>
  </si>
  <si>
    <t>ORD1149</t>
  </si>
  <si>
    <t>CUST1191</t>
  </si>
  <si>
    <t>ORD1151</t>
  </si>
  <si>
    <t>CUST1144</t>
  </si>
  <si>
    <t>CUST1139</t>
  </si>
  <si>
    <t>ORD1152</t>
  </si>
  <si>
    <t>CUST1195</t>
  </si>
  <si>
    <t>ORD1153</t>
  </si>
  <si>
    <t>ORD1154</t>
  </si>
  <si>
    <t>ORD1155</t>
  </si>
  <si>
    <t>CUST1189</t>
  </si>
  <si>
    <t>ORD1156</t>
  </si>
  <si>
    <t>ORD1157</t>
  </si>
  <si>
    <t>CUST1145</t>
  </si>
  <si>
    <t>ORD1158</t>
  </si>
  <si>
    <t>ORD1159</t>
  </si>
  <si>
    <t>ORD1161</t>
  </si>
  <si>
    <t>CUST1112</t>
  </si>
  <si>
    <t>ORD1162</t>
  </si>
  <si>
    <t>ORD1163</t>
  </si>
  <si>
    <t>ORD1164</t>
  </si>
  <si>
    <t>CUST1168</t>
  </si>
  <si>
    <t>ORD1165</t>
  </si>
  <si>
    <t>ORD1166</t>
  </si>
  <si>
    <t>ORD1167</t>
  </si>
  <si>
    <t>ORD1168</t>
  </si>
  <si>
    <t>ORD1169</t>
  </si>
  <si>
    <t>ORD1171</t>
  </si>
  <si>
    <t>CUST1173</t>
  </si>
  <si>
    <t>CUST1183</t>
  </si>
  <si>
    <t>ORD1172</t>
  </si>
  <si>
    <t>ORD1173</t>
  </si>
  <si>
    <t>ORD1174</t>
  </si>
  <si>
    <t>ORD1175</t>
  </si>
  <si>
    <t>CUST1118</t>
  </si>
  <si>
    <t>ORD1176</t>
  </si>
  <si>
    <t>CUST1184</t>
  </si>
  <si>
    <t>ORD1177</t>
  </si>
  <si>
    <t>CUST1148</t>
  </si>
  <si>
    <t>ORD1178</t>
  </si>
  <si>
    <t>ORD1179</t>
  </si>
  <si>
    <t>ORD1181</t>
  </si>
  <si>
    <t>ORD1182</t>
  </si>
  <si>
    <t>ORD1183</t>
  </si>
  <si>
    <t>CUST1153</t>
  </si>
  <si>
    <t>ORD1184</t>
  </si>
  <si>
    <t>ORD1185</t>
  </si>
  <si>
    <t>ORD1186</t>
  </si>
  <si>
    <t>ORD1187</t>
  </si>
  <si>
    <t>ORD1188</t>
  </si>
  <si>
    <t>ORD1189</t>
  </si>
  <si>
    <t>ORD1191</t>
  </si>
  <si>
    <t>CUST1151</t>
  </si>
  <si>
    <t>ORD1192</t>
  </si>
  <si>
    <t>CUST1113</t>
  </si>
  <si>
    <t>ORD1193</t>
  </si>
  <si>
    <t>ORD1194</t>
  </si>
  <si>
    <t>ORD1195</t>
  </si>
  <si>
    <t>ORD1196</t>
  </si>
  <si>
    <t>ORD1197</t>
  </si>
  <si>
    <t>ORD1198</t>
  </si>
  <si>
    <t>ORD1199</t>
  </si>
  <si>
    <t>CUST1167</t>
  </si>
  <si>
    <t>CUST1138</t>
  </si>
  <si>
    <t>CUST1146</t>
  </si>
  <si>
    <t>CUST1131</t>
  </si>
  <si>
    <t>CUST1182</t>
  </si>
  <si>
    <t>CUST1174</t>
  </si>
  <si>
    <t>CUST1188</t>
  </si>
  <si>
    <t>CUST1154</t>
  </si>
  <si>
    <t>CUST1124</t>
  </si>
  <si>
    <t>CUST1193</t>
  </si>
  <si>
    <t>CUST1121</t>
  </si>
  <si>
    <t>CUST1179</t>
  </si>
  <si>
    <t>CUST1155</t>
  </si>
  <si>
    <t>ORD1211</t>
  </si>
  <si>
    <t>ORD1212</t>
  </si>
  <si>
    <t>CUST1152</t>
  </si>
  <si>
    <t>ORD1213</t>
  </si>
  <si>
    <t>ORD1214</t>
  </si>
  <si>
    <t>ORD1215</t>
  </si>
  <si>
    <t>ORD1216</t>
  </si>
  <si>
    <t>CUST1147</t>
  </si>
  <si>
    <t>ORD1217</t>
  </si>
  <si>
    <t>ORD1218</t>
  </si>
  <si>
    <t>ORD1219</t>
  </si>
  <si>
    <t>CUST1164</t>
  </si>
  <si>
    <t>ORD1221</t>
  </si>
  <si>
    <t>ORD1222</t>
  </si>
  <si>
    <t>ORD1223</t>
  </si>
  <si>
    <t>ORD1224</t>
  </si>
  <si>
    <t>ORD1225</t>
  </si>
  <si>
    <t>ORD1226</t>
  </si>
  <si>
    <t>ORD1227</t>
  </si>
  <si>
    <t>ORD1228</t>
  </si>
  <si>
    <t>ORD1229</t>
  </si>
  <si>
    <t>ORD1231</t>
  </si>
  <si>
    <t>ORD1232</t>
  </si>
  <si>
    <t>ORD1233</t>
  </si>
  <si>
    <t>ORD1234</t>
  </si>
  <si>
    <t>ORD1235</t>
  </si>
  <si>
    <t>CUST1134</t>
  </si>
  <si>
    <t>ORD1236</t>
  </si>
  <si>
    <t>ORD1237</t>
  </si>
  <si>
    <t>ORD1238</t>
  </si>
  <si>
    <t>ORD1239</t>
  </si>
  <si>
    <t>ORD1241</t>
  </si>
  <si>
    <t>ORD1242</t>
  </si>
  <si>
    <t>ORD1243</t>
  </si>
  <si>
    <t>ORD1244</t>
  </si>
  <si>
    <t>CUST1165</t>
  </si>
  <si>
    <t>2125/18/26</t>
  </si>
  <si>
    <t>ORD1245</t>
  </si>
  <si>
    <t>ORD1246</t>
  </si>
  <si>
    <t>ORD1247</t>
  </si>
  <si>
    <t>2125/16/28</t>
  </si>
  <si>
    <t>ORD1248</t>
  </si>
  <si>
    <t>ORD1249</t>
  </si>
  <si>
    <t>ORD1251</t>
  </si>
  <si>
    <t>ORD1252</t>
  </si>
  <si>
    <t>ORD1253</t>
  </si>
  <si>
    <t>ORD1254</t>
  </si>
  <si>
    <t>ORD1255</t>
  </si>
  <si>
    <t>ORD1256</t>
  </si>
  <si>
    <t>ORD1257</t>
  </si>
  <si>
    <t>ORD1258</t>
  </si>
  <si>
    <t>ORD1259</t>
  </si>
  <si>
    <t>ORD1261</t>
  </si>
  <si>
    <t>ORD1262</t>
  </si>
  <si>
    <t>ORD1263</t>
  </si>
  <si>
    <t>ORD1264</t>
  </si>
  <si>
    <t>ORD1265</t>
  </si>
  <si>
    <t>ORD1266</t>
  </si>
  <si>
    <t>ORD1267</t>
  </si>
  <si>
    <t>ORD1268</t>
  </si>
  <si>
    <t>ORD1269</t>
  </si>
  <si>
    <t>ORD1271</t>
  </si>
  <si>
    <t>ORD1272</t>
  </si>
  <si>
    <t>ORD1273</t>
  </si>
  <si>
    <t>2125/18/11</t>
  </si>
  <si>
    <t>ORD1274</t>
  </si>
  <si>
    <t>ORD1275</t>
  </si>
  <si>
    <t>ORD1276</t>
  </si>
  <si>
    <t>CUST1172</t>
  </si>
  <si>
    <t>ORD1277</t>
  </si>
  <si>
    <t>ORD1278</t>
  </si>
  <si>
    <t>ORD1279</t>
  </si>
  <si>
    <t>ORD1281</t>
  </si>
  <si>
    <t>CUST1142</t>
  </si>
  <si>
    <t>ORD1282</t>
  </si>
  <si>
    <t>ORD1283</t>
  </si>
  <si>
    <t>ORD1284</t>
  </si>
  <si>
    <t>ORD1285</t>
  </si>
  <si>
    <t>ORD1286</t>
  </si>
  <si>
    <t>ORD1287</t>
  </si>
  <si>
    <t>ORD1288</t>
  </si>
  <si>
    <t>ORD1289</t>
  </si>
  <si>
    <t>ORD1291</t>
  </si>
  <si>
    <t>ORD1292</t>
  </si>
  <si>
    <t>ORD1293</t>
  </si>
  <si>
    <t>ORD1294</t>
  </si>
  <si>
    <t>ORD1295</t>
  </si>
  <si>
    <t>ORD1296</t>
  </si>
  <si>
    <t>ORD1297</t>
  </si>
  <si>
    <t>ORD1298</t>
  </si>
  <si>
    <t>ORD1299</t>
  </si>
  <si>
    <t>ORD1311</t>
  </si>
  <si>
    <t>17-111125</t>
  </si>
  <si>
    <t>24-161125</t>
  </si>
  <si>
    <t>12-111125</t>
  </si>
  <si>
    <t>21-121125</t>
  </si>
  <si>
    <t>25-131125</t>
  </si>
  <si>
    <t>18-111125</t>
  </si>
  <si>
    <t>15-171125</t>
  </si>
  <si>
    <t>14-191125</t>
  </si>
  <si>
    <t>11-111125</t>
  </si>
  <si>
    <t>19-111125</t>
  </si>
  <si>
    <t>13-131125</t>
  </si>
  <si>
    <t>19-121125</t>
  </si>
  <si>
    <t>19-141125</t>
  </si>
  <si>
    <t>17-121125</t>
  </si>
  <si>
    <t>21-181125</t>
  </si>
  <si>
    <t>26-111125</t>
  </si>
  <si>
    <t>22-131125</t>
  </si>
  <si>
    <t>16-111125</t>
  </si>
  <si>
    <t>21-161125</t>
  </si>
  <si>
    <t>19-181125</t>
  </si>
  <si>
    <t>24-141125</t>
  </si>
  <si>
    <t>25-111125</t>
  </si>
  <si>
    <t>12-181125</t>
  </si>
  <si>
    <t>15-121125</t>
  </si>
  <si>
    <t>14-181125</t>
  </si>
  <si>
    <t>15-181125</t>
  </si>
  <si>
    <t>17-131125</t>
  </si>
  <si>
    <t>24-121125</t>
  </si>
  <si>
    <t>21-151125</t>
  </si>
  <si>
    <t>19-161125</t>
  </si>
  <si>
    <t>13-181125</t>
  </si>
  <si>
    <t>29-111125</t>
  </si>
  <si>
    <t>25-121125</t>
  </si>
  <si>
    <t>18-121125</t>
  </si>
  <si>
    <t>31-111125</t>
  </si>
  <si>
    <t>17-191125</t>
  </si>
  <si>
    <t>16-181125</t>
  </si>
  <si>
    <t>29-171125</t>
  </si>
  <si>
    <t>28-121125</t>
  </si>
  <si>
    <t>28-181125</t>
  </si>
  <si>
    <t>28-141125</t>
  </si>
  <si>
    <t>29-181125</t>
  </si>
  <si>
    <t>27-111125</t>
  </si>
  <si>
    <t>12-161125</t>
  </si>
  <si>
    <t>31-171125</t>
  </si>
  <si>
    <t>12-121125</t>
  </si>
  <si>
    <t>21-111125</t>
  </si>
  <si>
    <t>16-151125</t>
  </si>
  <si>
    <t>29-141125</t>
  </si>
  <si>
    <t>22-181125</t>
  </si>
  <si>
    <t>15-111125</t>
  </si>
  <si>
    <t>19-131125</t>
  </si>
  <si>
    <t>14-131125</t>
  </si>
  <si>
    <t>11-131125</t>
  </si>
  <si>
    <t>11-181125</t>
  </si>
  <si>
    <t>15-151125</t>
  </si>
  <si>
    <t>14-111125</t>
  </si>
  <si>
    <t>23-181125</t>
  </si>
  <si>
    <t>16-131125</t>
  </si>
  <si>
    <t>27-141125</t>
  </si>
  <si>
    <t>14-121125</t>
  </si>
  <si>
    <t>13-141125</t>
  </si>
  <si>
    <t>16-161125</t>
  </si>
  <si>
    <t>14-161125</t>
  </si>
  <si>
    <t>16-121125</t>
  </si>
  <si>
    <t>27-171125</t>
  </si>
  <si>
    <t>18-161125</t>
  </si>
  <si>
    <t>18-171125</t>
  </si>
  <si>
    <t>25-151125</t>
  </si>
  <si>
    <t>13-121125</t>
  </si>
  <si>
    <t>26-141125</t>
  </si>
  <si>
    <t>23-111125</t>
  </si>
  <si>
    <t>31-121125</t>
  </si>
  <si>
    <t>12-131125</t>
  </si>
  <si>
    <t>26-121125</t>
  </si>
  <si>
    <t>15-131125</t>
  </si>
  <si>
    <t>27-131125</t>
  </si>
  <si>
    <t>11-171125</t>
  </si>
  <si>
    <t>22-111125</t>
  </si>
  <si>
    <t>15-191125</t>
  </si>
  <si>
    <t>11-141125</t>
  </si>
  <si>
    <t>11-121125</t>
  </si>
  <si>
    <t>24-171125</t>
  </si>
  <si>
    <t>12-191125</t>
  </si>
  <si>
    <t>14-141125</t>
  </si>
  <si>
    <t>27-151125</t>
  </si>
  <si>
    <t>27-121125</t>
  </si>
  <si>
    <t>17-181125</t>
  </si>
  <si>
    <t>21-191125</t>
  </si>
  <si>
    <t>18-181125</t>
  </si>
  <si>
    <t>31-141125</t>
  </si>
  <si>
    <t>12-171125</t>
  </si>
  <si>
    <t>11-151125</t>
  </si>
  <si>
    <t>28-111125</t>
  </si>
  <si>
    <t>23-171125</t>
  </si>
  <si>
    <t>13-161125</t>
  </si>
  <si>
    <t>31-161125</t>
  </si>
  <si>
    <t>29-121125</t>
  </si>
  <si>
    <t>29-191125</t>
  </si>
  <si>
    <t>14-171125</t>
  </si>
  <si>
    <t>22-121125</t>
  </si>
  <si>
    <t>25-181125</t>
  </si>
  <si>
    <t>21-171125</t>
  </si>
  <si>
    <t>25-161125</t>
  </si>
  <si>
    <t>24-111125</t>
  </si>
  <si>
    <t>28-151125</t>
  </si>
  <si>
    <t>26-131125</t>
  </si>
  <si>
    <t>22-161125</t>
  </si>
  <si>
    <t>22-171125</t>
  </si>
  <si>
    <t>11-191125</t>
  </si>
  <si>
    <t>31-181125</t>
  </si>
  <si>
    <t>19-191125</t>
  </si>
  <si>
    <t>18-151125</t>
  </si>
  <si>
    <t>24-191125</t>
  </si>
  <si>
    <t>12-151125</t>
  </si>
  <si>
    <t>31-131125</t>
  </si>
  <si>
    <t>12-141125</t>
  </si>
  <si>
    <t>16-141125</t>
  </si>
  <si>
    <t>16-171125</t>
  </si>
  <si>
    <t>19-151125</t>
  </si>
  <si>
    <t>17-151125</t>
  </si>
  <si>
    <t>17-171125</t>
  </si>
  <si>
    <t>18-191125</t>
  </si>
  <si>
    <t>27-181125</t>
  </si>
  <si>
    <t>25-191125</t>
  </si>
  <si>
    <t>22-151125</t>
  </si>
  <si>
    <t>13-151125</t>
  </si>
  <si>
    <t>13-171125</t>
  </si>
  <si>
    <t>23-121125</t>
  </si>
  <si>
    <t>24-131125</t>
  </si>
  <si>
    <t>16-191125</t>
  </si>
  <si>
    <t>21-131125</t>
  </si>
  <si>
    <t>29-151125</t>
  </si>
  <si>
    <t>25-141125</t>
  </si>
  <si>
    <t>18-131125</t>
  </si>
  <si>
    <t>18-212313</t>
  </si>
  <si>
    <t>21-251823</t>
  </si>
  <si>
    <t>total_sales</t>
  </si>
  <si>
    <t>Cleaning Task</t>
  </si>
  <si>
    <t>Action Taken</t>
  </si>
  <si>
    <t>Missing Values</t>
  </si>
  <si>
    <t>Blank City values changed to Unknown</t>
  </si>
  <si>
    <t>Duplicate Records</t>
  </si>
  <si>
    <t>Duplicate rows removed</t>
  </si>
  <si>
    <t>City names standardized</t>
  </si>
  <si>
    <t>Product names standardized</t>
  </si>
  <si>
    <t>Payment Method</t>
  </si>
  <si>
    <t>Payment methods standardized</t>
  </si>
  <si>
    <t>Invalid values corrected</t>
  </si>
  <si>
    <t>Unit Price</t>
  </si>
  <si>
    <t>Price formatting corrected</t>
  </si>
  <si>
    <t>Order Date</t>
  </si>
  <si>
    <t>ate format standardized</t>
  </si>
  <si>
    <t>Total Sales</t>
  </si>
  <si>
    <t>Quantity × Unit Price calculated</t>
  </si>
  <si>
    <t>Cell</t>
  </si>
  <si>
    <t>Type</t>
  </si>
  <si>
    <t>A1</t>
  </si>
  <si>
    <t>EXPLORATORY DATA ANALYSIS</t>
  </si>
  <si>
    <t>A3</t>
  </si>
  <si>
    <t>Metric</t>
  </si>
  <si>
    <t>B3</t>
  </si>
  <si>
    <t>Value</t>
  </si>
  <si>
    <t>A4</t>
  </si>
  <si>
    <t>Total Orders</t>
  </si>
  <si>
    <t>A5</t>
  </si>
  <si>
    <t>A6</t>
  </si>
  <si>
    <t>Average Sales per Order</t>
  </si>
  <si>
    <t>A7</t>
  </si>
  <si>
    <t>Average Quantity</t>
  </si>
  <si>
    <t>A8</t>
  </si>
  <si>
    <t>Highest Sale</t>
  </si>
  <si>
    <t>A9</t>
  </si>
  <si>
    <t>Lowest Sale</t>
  </si>
  <si>
    <t>A10</t>
  </si>
  <si>
    <t>Median Sale</t>
  </si>
  <si>
    <t>A15</t>
  </si>
  <si>
    <t>B15</t>
  </si>
  <si>
    <t>A19</t>
  </si>
  <si>
    <t>Category Sales Analysis</t>
  </si>
  <si>
    <t>Enter</t>
  </si>
  <si>
    <t>A21</t>
  </si>
  <si>
    <t>Product Sales Analysis</t>
  </si>
  <si>
    <t>A23</t>
  </si>
  <si>
    <t>B23</t>
  </si>
  <si>
    <t>A24</t>
  </si>
  <si>
    <t>A25</t>
  </si>
  <si>
    <t>A26</t>
  </si>
  <si>
    <t>A27</t>
  </si>
  <si>
    <t>A28</t>
  </si>
  <si>
    <t>A29</t>
  </si>
  <si>
    <t>A30</t>
  </si>
  <si>
    <t>A31</t>
  </si>
  <si>
    <t>A34</t>
  </si>
  <si>
    <t>Order Status Analysis</t>
  </si>
  <si>
    <t>A36</t>
  </si>
  <si>
    <t>Status</t>
  </si>
  <si>
    <t>B36</t>
  </si>
  <si>
    <t>Number of Orders</t>
  </si>
  <si>
    <t>A37</t>
  </si>
  <si>
    <t>A38</t>
  </si>
  <si>
    <t>A39</t>
  </si>
  <si>
    <t>A40</t>
  </si>
  <si>
    <t>Unknown</t>
  </si>
  <si>
    <t>total</t>
  </si>
  <si>
    <t>A43:</t>
  </si>
  <si>
    <t>city sales analysis</t>
  </si>
  <si>
    <t>A45:</t>
  </si>
  <si>
    <t xml:space="preserve">B45: </t>
  </si>
  <si>
    <t>Total sales</t>
  </si>
  <si>
    <t>A46 = Delhi</t>
  </si>
  <si>
    <t>A47 = Mumbai</t>
  </si>
  <si>
    <t>A48 = Chennai</t>
  </si>
  <si>
    <t>A49 = Pune</t>
  </si>
  <si>
    <t>A50 = Kolkata</t>
  </si>
  <si>
    <t>A51 = Jaipur</t>
  </si>
  <si>
    <t>A52 = Bangalore</t>
  </si>
  <si>
    <t>A53 = Hyderabad</t>
  </si>
  <si>
    <t>A56 = Payment Method Analysis</t>
  </si>
  <si>
    <t>A58 = Payment Method</t>
  </si>
  <si>
    <t>B58 = Number of Orders</t>
  </si>
  <si>
    <t>A59 = Credit Card</t>
  </si>
  <si>
    <t>A60 = UPI</t>
  </si>
  <si>
    <t>A61 = Cash</t>
  </si>
  <si>
    <t>A62 = Debit Card</t>
  </si>
  <si>
    <t>A63 = Net Banking</t>
  </si>
  <si>
    <t>A64 = Unknown</t>
  </si>
  <si>
    <t>Total</t>
  </si>
  <si>
    <t>Trend Analysis - Monthly Sales</t>
  </si>
  <si>
    <t>Month</t>
  </si>
  <si>
    <t>January</t>
  </si>
  <si>
    <t>February</t>
  </si>
  <si>
    <t>March</t>
  </si>
  <si>
    <t>April</t>
  </si>
  <si>
    <t>May</t>
  </si>
  <si>
    <t>June</t>
  </si>
  <si>
    <t>July</t>
  </si>
  <si>
    <t>August</t>
  </si>
  <si>
    <t>September</t>
  </si>
  <si>
    <t>October</t>
  </si>
  <si>
    <t>November</t>
  </si>
  <si>
    <t>December</t>
  </si>
  <si>
    <t>month</t>
  </si>
  <si>
    <t>Data Quality &amp; Anomaly Analysis</t>
  </si>
  <si>
    <t>Issue</t>
  </si>
  <si>
    <t>Count / Observation</t>
  </si>
  <si>
    <t>Unknown Quantity</t>
  </si>
  <si>
    <t>Unknown Payment Method</t>
  </si>
  <si>
    <t>Blank Payment Method</t>
  </si>
  <si>
    <t>Unknown Order Status</t>
  </si>
  <si>
    <t>Invalid/Mixed Dates</t>
  </si>
  <si>
    <t>Present</t>
  </si>
  <si>
    <t>Zero Sales Orders</t>
  </si>
  <si>
    <t>Sales Outlier Analysis</t>
  </si>
  <si>
    <t>Q1 (25th Percentile)</t>
  </si>
  <si>
    <t>Q3 (75th Percentile)</t>
  </si>
  <si>
    <t>IQR</t>
  </si>
  <si>
    <t>Upper Outlier Limit</t>
  </si>
  <si>
    <t>Number of Outliers</t>
  </si>
  <si>
    <t>B16</t>
  </si>
  <si>
    <t>B17</t>
  </si>
  <si>
    <t>B18</t>
  </si>
  <si>
    <t>Key Insights</t>
  </si>
  <si>
    <t>2. Laptop recorded the highest sales among all individual products, followed by Smartphone.</t>
  </si>
  <si>
    <t>3. Cancelled orders were slightly higher than pending and completed orders, indicating a noticeable level of order cancellations.</t>
  </si>
  <si>
    <t>4. Debit Card and Net Banking were the most frequently used payment methods, while only a small number of orders had an unknown payment method.</t>
  </si>
  <si>
    <t>1. Electronics generated the highest sales among the analyzed categories, making it the main contributor to overall sales.</t>
  </si>
  <si>
    <t>5.The dataset contains data-quality issues such as unknown quantities, unknown payment methods, unknown order statuses, invalid dates, and zero-sales orders, which should be considered when interpreting the results.</t>
  </si>
  <si>
    <t>Conclusion</t>
  </si>
  <si>
    <t>The exploratory analysis shows clear differences in sales across categories, products and cities. Electronics and laptops contributed strongly to sales, while order status and payment-method patterns provide additional information about customer activity. The analysis also identified several data-quality issues and sales outliers that should be considered when interpreting the results.</t>
  </si>
  <si>
    <t>6. Monthly sales show fluctuations throughout the year, with the highest sales occurring in December and relatively lower sales in March.</t>
  </si>
  <si>
    <t>city_clean</t>
  </si>
  <si>
    <t>Column1</t>
  </si>
  <si>
    <t>payment_mentod</t>
  </si>
  <si>
    <t>sales</t>
  </si>
  <si>
    <t>day</t>
  </si>
  <si>
    <t>Sum of sales</t>
  </si>
  <si>
    <t>Count of Order_ID</t>
  </si>
  <si>
    <t>Average of sales2</t>
  </si>
  <si>
    <t>total_orders</t>
  </si>
  <si>
    <t>average_order_value</t>
  </si>
  <si>
    <t>Row Labels</t>
  </si>
  <si>
    <t>Grand Total</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</si>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</sst>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4" formatCode="_ &quot;₹&quot;\ * #,##0.00_ ;_ &quot;₹&quot;\ * \-#,##0.00_ ;_ &quot;₹&quot;\ * &quot;-&quot;??_ ;_ @_ "/>
    <numFmt numFmtId="164" formatCode="_ [$₹-4009]\ * #,##0.00_ ;_ [$₹-4009]\ * \-#,##0.00_ ;_ [$₹-4009]\ * &quot;-&quot;??_ ;_ @_ "/>
  </numFmts>
  <fonts count="17" x14ac:knownFonts="1">
    <font>
      <sz val="11"/>
      <color theme="1"/>
      <name val="Calibri"/>
      <family val="2"/>
      <scheme val="minor"/>
    </font>
    <font>
      <b/>
      <sz val="11"/>
      <name val="Calibri"/>
    </font>
    <font>
      <b/>
      <sz val="11"/>
      <name val="Calibri"/>
      <family val="2"/>
    </font>
    <font>
      <sz val="8"/>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b/>
      <sz val="16"/>
      <color theme="1"/>
      <name val="Calibri"/>
      <family val="2"/>
      <scheme val="minor"/>
    </font>
    <font>
      <b/>
      <sz val="16"/>
      <color theme="3" tint="-0.249977111117893"/>
      <name val="Calibri"/>
      <family val="2"/>
      <scheme val="minor"/>
    </font>
    <font>
      <b/>
      <sz val="16"/>
      <color theme="2" tint="-0.749992370372631"/>
      <name val="Calibri"/>
      <family val="2"/>
      <scheme val="minor"/>
    </font>
    <font>
      <b/>
      <sz val="16"/>
      <color theme="9" tint="-0.499984740745262"/>
      <name val="Calibri"/>
      <family val="2"/>
      <scheme val="minor"/>
    </font>
    <font>
      <b/>
      <sz val="16"/>
      <color theme="6" tint="-0.499984740745262"/>
      <name val="Calibri"/>
      <family val="2"/>
      <scheme val="minor"/>
    </font>
    <font>
      <b/>
      <sz val="16"/>
      <color theme="5" tint="0.39997558519241921"/>
      <name val="Calibri"/>
      <family val="2"/>
      <scheme val="minor"/>
    </font>
    <font>
      <b/>
      <sz val="18"/>
      <color theme="5" tint="-0.249977111117893"/>
      <name val="Calibri"/>
      <family val="2"/>
      <scheme val="minor"/>
    </font>
    <font>
      <sz val="14"/>
      <color theme="1"/>
      <name val="Calibri"/>
      <family val="2"/>
      <scheme val="minor"/>
    </font>
    <font>
      <b/>
      <sz val="18"/>
      <color theme="7" tint="-0.249977111117893"/>
      <name val="Calibri"/>
      <family val="2"/>
      <scheme val="minor"/>
    </font>
    <font>
      <b/>
      <sz val="26"/>
      <color theme="1"/>
      <name val="Calibri"/>
      <family val="2"/>
      <scheme val="minor"/>
    </font>
  </fonts>
  <fills count="5">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theme="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s>
  <cellStyleXfs count="2">
    <xf numFmtId="0" fontId="0" fillId="0" borderId="0"/>
    <xf numFmtId="44" fontId="5" fillId="0" borderId="0" applyFont="0" applyFill="0" applyBorder="0" applyAlignment="0" applyProtection="0"/>
  </cellStyleXfs>
  <cellXfs count="4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2" xfId="0" applyFont="1" applyBorder="1" applyAlignment="1">
      <alignment horizontal="center" vertical="top"/>
    </xf>
    <xf numFmtId="14" fontId="0" fillId="0" borderId="0" xfId="0" applyNumberFormat="1"/>
    <xf numFmtId="6" fontId="0" fillId="0" borderId="0" xfId="0" applyNumberFormat="1"/>
    <xf numFmtId="0" fontId="1" fillId="0" borderId="0" xfId="0" applyFont="1" applyAlignment="1">
      <alignment horizontal="center" vertical="top"/>
    </xf>
    <xf numFmtId="0" fontId="4" fillId="0" borderId="0" xfId="0" applyFont="1" applyAlignment="1">
      <alignment horizontal="center" vertical="center" wrapText="1"/>
    </xf>
    <xf numFmtId="0" fontId="0" fillId="0" borderId="0" xfId="0"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xf numFmtId="0" fontId="9" fillId="0" borderId="0" xfId="0" applyFont="1"/>
    <xf numFmtId="0" fontId="10" fillId="0" borderId="0" xfId="0" applyFont="1"/>
    <xf numFmtId="0" fontId="11" fillId="0" borderId="0" xfId="0" applyFont="1" applyAlignment="1">
      <alignment vertical="center" wrapText="1"/>
    </xf>
    <xf numFmtId="0" fontId="9" fillId="0" borderId="0" xfId="0" applyFont="1" applyAlignment="1">
      <alignment vertical="center" wrapText="1"/>
    </xf>
    <xf numFmtId="0" fontId="12" fillId="0" borderId="0" xfId="0" applyFont="1"/>
    <xf numFmtId="0" fontId="4" fillId="0" borderId="0" xfId="0" applyFont="1"/>
    <xf numFmtId="0" fontId="4" fillId="0" borderId="0" xfId="0" applyFont="1" applyAlignment="1">
      <alignment horizontal="center" wrapText="1"/>
    </xf>
    <xf numFmtId="0" fontId="6" fillId="0" borderId="0" xfId="0" applyFont="1" applyAlignment="1">
      <alignment horizontal="center" wrapText="1"/>
    </xf>
    <xf numFmtId="0" fontId="4" fillId="0" borderId="0" xfId="0" applyFont="1" applyAlignment="1">
      <alignment horizontal="center"/>
    </xf>
    <xf numFmtId="0" fontId="0" fillId="0" borderId="0" xfId="0" applyAlignment="1">
      <alignment horizontal="center"/>
    </xf>
    <xf numFmtId="0" fontId="7" fillId="0" borderId="0" xfId="0" applyFont="1" applyAlignment="1">
      <alignment horizontal="center" vertical="center" wrapText="1"/>
    </xf>
    <xf numFmtId="164" fontId="4" fillId="0" borderId="0" xfId="0" applyNumberFormat="1" applyFont="1" applyAlignment="1">
      <alignment horizontal="center"/>
    </xf>
    <xf numFmtId="44" fontId="4" fillId="0" borderId="0" xfId="1" applyFont="1" applyAlignment="1">
      <alignment horizontal="center"/>
    </xf>
    <xf numFmtId="44" fontId="4" fillId="0" borderId="0" xfId="1" applyFont="1" applyAlignment="1"/>
    <xf numFmtId="0" fontId="13" fillId="0" borderId="0" xfId="0" applyFont="1" applyAlignment="1">
      <alignment wrapText="1"/>
    </xf>
    <xf numFmtId="0" fontId="14" fillId="0" borderId="0" xfId="0" applyFont="1"/>
    <xf numFmtId="0" fontId="15" fillId="0" borderId="0" xfId="0" applyFont="1"/>
    <xf numFmtId="0" fontId="4" fillId="0" borderId="0" xfId="0" applyFont="1" applyAlignment="1">
      <alignment horizontal="right" vertical="center" wrapText="1"/>
    </xf>
    <xf numFmtId="6" fontId="4" fillId="0" borderId="0" xfId="0" applyNumberFormat="1" applyFont="1" applyAlignment="1">
      <alignment horizontal="center" vertical="center" wrapText="1"/>
    </xf>
    <xf numFmtId="0" fontId="0" fillId="2" borderId="3" xfId="0" applyFill="1" applyBorder="1"/>
    <xf numFmtId="0" fontId="0" fillId="2" borderId="4"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14" fontId="0" fillId="2" borderId="4" xfId="0" applyNumberFormat="1" applyFill="1" applyBorder="1"/>
    <xf numFmtId="14" fontId="0" fillId="3" borderId="4" xfId="0" applyNumberFormat="1" applyFill="1" applyBorder="1"/>
    <xf numFmtId="6" fontId="0" fillId="2" borderId="4" xfId="0" applyNumberFormat="1" applyFill="1" applyBorder="1"/>
    <xf numFmtId="6" fontId="0" fillId="3" borderId="4" xfId="0" applyNumberFormat="1" applyFill="1" applyBorder="1"/>
    <xf numFmtId="0" fontId="2" fillId="4" borderId="2" xfId="0" applyFont="1" applyFill="1" applyBorder="1" applyAlignment="1">
      <alignment horizontal="center" vertical="top"/>
    </xf>
    <xf numFmtId="14" fontId="0" fillId="3" borderId="6" xfId="0" applyNumberFormat="1" applyFill="1" applyBorder="1"/>
    <xf numFmtId="0" fontId="0" fillId="3" borderId="7" xfId="0" applyFill="1" applyBorder="1"/>
    <xf numFmtId="0" fontId="0" fillId="0" borderId="0" xfId="0" applyNumberFormat="1"/>
    <xf numFmtId="0" fontId="0" fillId="0" borderId="0" xfId="0" pivotButton="1"/>
    <xf numFmtId="0" fontId="0" fillId="0" borderId="0" xfId="0" applyAlignment="1">
      <alignment horizontal="left"/>
    </xf>
    <xf numFmtId="0" fontId="16" fillId="0" borderId="0" xfId="0" applyFont="1"/>
  </cellXfs>
  <cellStyles count="2">
    <cellStyle name="Currency" xfId="1" builtinId="4"/>
    <cellStyle name="Normal" xfId="0" builtinId="0"/>
  </cellStyles>
  <dxfs count="26">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multiLvlStrRef>
              <c:f>'EDA analysis'!$A$13:$B$19</c:f>
              <c:multiLvlStrCache>
                <c:ptCount val="7"/>
                <c:lvl>
                  <c:pt idx="1">
                    <c:v>Type</c:v>
                  </c:pt>
                  <c:pt idx="2">
                    <c:v>Category</c:v>
                  </c:pt>
                  <c:pt idx="3">
                    <c:v>Total Sales</c:v>
                  </c:pt>
                  <c:pt idx="4">
                    <c:v>Electronics</c:v>
                  </c:pt>
                  <c:pt idx="5">
                    <c:v>Wearables</c:v>
                  </c:pt>
                  <c:pt idx="6">
                    <c:v>Accessories</c:v>
                  </c:pt>
                </c:lvl>
                <c:lvl>
                  <c:pt idx="0">
                    <c:v>Category Sales Analysis</c:v>
                  </c:pt>
                  <c:pt idx="1">
                    <c:v>Cell</c:v>
                  </c:pt>
                  <c:pt idx="2">
                    <c:v>A15</c:v>
                  </c:pt>
                  <c:pt idx="3">
                    <c:v>B15</c:v>
                  </c:pt>
                  <c:pt idx="4">
                    <c:v>B16</c:v>
                  </c:pt>
                  <c:pt idx="5">
                    <c:v>B17</c:v>
                  </c:pt>
                  <c:pt idx="6">
                    <c:v>B18</c:v>
                  </c:pt>
                </c:lvl>
              </c:multiLvlStrCache>
            </c:multiLvlStrRef>
          </c:cat>
          <c:val>
            <c:numRef>
              <c:f>'EDA analysis'!$C$13:$C$19</c:f>
              <c:numCache>
                <c:formatCode>General</c:formatCode>
                <c:ptCount val="7"/>
                <c:pt idx="4" formatCode="_ [$₹-4009]\ * #,##0.00_ ;_ [$₹-4009]\ * \-#,##0.00_ ;_ [$₹-4009]\ * &quot;-&quot;??_ ;_ @_ ">
                  <c:v>10303520</c:v>
                </c:pt>
                <c:pt idx="5" formatCode="_ [$₹-4009]\ * #,##0.00_ ;_ [$₹-4009]\ * \-#,##0.00_ ;_ [$₹-4009]\ * &quot;-&quot;??_ ;_ @_ ">
                  <c:v>642387</c:v>
                </c:pt>
                <c:pt idx="6" formatCode="_ [$₹-4009]\ * #,##0.00_ ;_ [$₹-4009]\ * \-#,##0.00_ ;_ [$₹-4009]\ * &quot;-&quot;??_ ;_ @_ ">
                  <c:v>420100</c:v>
                </c:pt>
              </c:numCache>
            </c:numRef>
          </c:val>
          <c:extLst>
            <c:ext xmlns:c16="http://schemas.microsoft.com/office/drawing/2014/chart" uri="{C3380CC4-5D6E-409C-BE32-E72D297353CC}">
              <c16:uniqueId val="{00000000-47BA-4CB4-9C6F-DC8BE063F356}"/>
            </c:ext>
          </c:extLst>
        </c:ser>
        <c:dLbls>
          <c:showLegendKey val="0"/>
          <c:showVal val="0"/>
          <c:showCatName val="0"/>
          <c:showSerName val="0"/>
          <c:showPercent val="0"/>
          <c:showBubbleSize val="0"/>
        </c:dLbls>
        <c:gapWidth val="219"/>
        <c:overlap val="-27"/>
        <c:axId val="549267840"/>
        <c:axId val="128647920"/>
      </c:barChart>
      <c:catAx>
        <c:axId val="54926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7920"/>
        <c:crosses val="autoZero"/>
        <c:auto val="1"/>
        <c:lblAlgn val="ctr"/>
        <c:lblOffset val="100"/>
        <c:noMultiLvlLbl val="0"/>
      </c:catAx>
      <c:valAx>
        <c:axId val="12864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6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multiLvlStrRef>
              <c:f>'EDA analysis'!$A$22:$B$33</c:f>
              <c:multiLvlStrCache>
                <c:ptCount val="12"/>
                <c:lvl>
                  <c:pt idx="0">
                    <c:v>Enter</c:v>
                  </c:pt>
                  <c:pt idx="1">
                    <c:v>Product Sales Analysis</c:v>
                  </c:pt>
                  <c:pt idx="2">
                    <c:v>Product</c:v>
                  </c:pt>
                  <c:pt idx="3">
                    <c:v>Total Sales</c:v>
                  </c:pt>
                  <c:pt idx="4">
                    <c:v>Smartphone</c:v>
                  </c:pt>
                  <c:pt idx="5">
                    <c:v>Laptop</c:v>
                  </c:pt>
                  <c:pt idx="6">
                    <c:v>Mouse</c:v>
                  </c:pt>
                  <c:pt idx="7">
                    <c:v>Monitor</c:v>
                  </c:pt>
                  <c:pt idx="8">
                    <c:v>Keyboard</c:v>
                  </c:pt>
                  <c:pt idx="9">
                    <c:v>Smartwatch</c:v>
                  </c:pt>
                  <c:pt idx="10">
                    <c:v>Tablet</c:v>
                  </c:pt>
                  <c:pt idx="11">
                    <c:v>Headphones</c:v>
                  </c:pt>
                </c:lvl>
                <c:lvl>
                  <c:pt idx="0">
                    <c:v>Cell</c:v>
                  </c:pt>
                  <c:pt idx="1">
                    <c:v>A21</c:v>
                  </c:pt>
                  <c:pt idx="2">
                    <c:v>A23</c:v>
                  </c:pt>
                  <c:pt idx="3">
                    <c:v>B23</c:v>
                  </c:pt>
                  <c:pt idx="4">
                    <c:v>A24</c:v>
                  </c:pt>
                  <c:pt idx="5">
                    <c:v>A25</c:v>
                  </c:pt>
                  <c:pt idx="6">
                    <c:v>A26</c:v>
                  </c:pt>
                  <c:pt idx="7">
                    <c:v>A27</c:v>
                  </c:pt>
                  <c:pt idx="8">
                    <c:v>A28</c:v>
                  </c:pt>
                  <c:pt idx="9">
                    <c:v>A29</c:v>
                  </c:pt>
                  <c:pt idx="10">
                    <c:v>A30</c:v>
                  </c:pt>
                  <c:pt idx="11">
                    <c:v>A31</c:v>
                  </c:pt>
                </c:lvl>
              </c:multiLvlStrCache>
            </c:multiLvlStrRef>
          </c:cat>
          <c:val>
            <c:numRef>
              <c:f>'EDA analysis'!$C$22:$C$33</c:f>
              <c:numCache>
                <c:formatCode>General</c:formatCode>
                <c:ptCount val="12"/>
                <c:pt idx="4" formatCode="_ [$₹-4009]\ * #,##0.00_ ;_ [$₹-4009]\ * \-#,##0.00_ ;_ [$₹-4009]\ * &quot;-&quot;??_ ;_ @_ ">
                  <c:v>2744389</c:v>
                </c:pt>
                <c:pt idx="5" formatCode="_ [$₹-4009]\ * #,##0.00_ ;_ [$₹-4009]\ * \-#,##0.00_ ;_ [$₹-4009]\ * &quot;-&quot;??_ ;_ @_ ">
                  <c:v>5156878</c:v>
                </c:pt>
                <c:pt idx="6" formatCode="_ [$₹-4009]\ * #,##0.00_ ;_ [$₹-4009]\ * \-#,##0.00_ ;_ [$₹-4009]\ * &quot;-&quot;??_ ;_ @_ ">
                  <c:v>95297</c:v>
                </c:pt>
                <c:pt idx="7" formatCode="_(&quot;₹&quot;* #,##0.00_);_(&quot;₹&quot;* \(#,##0.00\);_(&quot;₹&quot;* &quot;-&quot;??_);_(@_)">
                  <c:v>1062104</c:v>
                </c:pt>
                <c:pt idx="8" formatCode="_(&quot;₹&quot;* #,##0.00_);_(&quot;₹&quot;* \(#,##0.00\);_(&quot;₹&quot;* &quot;-&quot;??_);_(@_)">
                  <c:v>128812</c:v>
                </c:pt>
                <c:pt idx="9" formatCode="_(&quot;₹&quot;* #,##0.00_);_(&quot;₹&quot;* \(#,##0.00\);_(&quot;₹&quot;* &quot;-&quot;??_);_(@_)">
                  <c:v>632343</c:v>
                </c:pt>
                <c:pt idx="10" formatCode="_(&quot;₹&quot;* #,##0.00_);_(&quot;₹&quot;* \(#,##0.00\);_(&quot;₹&quot;* &quot;-&quot;??_);_(@_)">
                  <c:v>1313215</c:v>
                </c:pt>
                <c:pt idx="11" formatCode="_(&quot;₹&quot;* #,##0.00_);_(&quot;₹&quot;* \(#,##0.00\);_(&quot;₹&quot;* &quot;-&quot;??_);_(@_)">
                  <c:v>187636</c:v>
                </c:pt>
              </c:numCache>
            </c:numRef>
          </c:val>
          <c:extLst>
            <c:ext xmlns:c16="http://schemas.microsoft.com/office/drawing/2014/chart" uri="{C3380CC4-5D6E-409C-BE32-E72D297353CC}">
              <c16:uniqueId val="{00000000-05F8-4D9C-99FA-74ECE557F78D}"/>
            </c:ext>
          </c:extLst>
        </c:ser>
        <c:dLbls>
          <c:showLegendKey val="0"/>
          <c:showVal val="0"/>
          <c:showCatName val="0"/>
          <c:showSerName val="0"/>
          <c:showPercent val="0"/>
          <c:showBubbleSize val="0"/>
        </c:dLbls>
        <c:gapWidth val="219"/>
        <c:overlap val="-27"/>
        <c:axId val="621858512"/>
        <c:axId val="128721360"/>
      </c:barChart>
      <c:catAx>
        <c:axId val="62185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21360"/>
        <c:crosses val="autoZero"/>
        <c:auto val="1"/>
        <c:lblAlgn val="ctr"/>
        <c:lblOffset val="100"/>
        <c:noMultiLvlLbl val="0"/>
      </c:catAx>
      <c:valAx>
        <c:axId val="12872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5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status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multiLvlStrRef>
              <c:f>'EDA analysis'!$A$35:$B$43</c:f>
              <c:multiLvlStrCache>
                <c:ptCount val="9"/>
                <c:lvl>
                  <c:pt idx="0">
                    <c:v>Enter</c:v>
                  </c:pt>
                  <c:pt idx="1">
                    <c:v>Order Status Analysis</c:v>
                  </c:pt>
                  <c:pt idx="2">
                    <c:v>Status</c:v>
                  </c:pt>
                  <c:pt idx="3">
                    <c:v>Number of Orders</c:v>
                  </c:pt>
                  <c:pt idx="4">
                    <c:v>Completed</c:v>
                  </c:pt>
                  <c:pt idx="5">
                    <c:v>Pending</c:v>
                  </c:pt>
                  <c:pt idx="6">
                    <c:v>Cancelled</c:v>
                  </c:pt>
                  <c:pt idx="7">
                    <c:v>Unknown</c:v>
                  </c:pt>
                  <c:pt idx="8">
                    <c:v>total</c:v>
                  </c:pt>
                </c:lvl>
                <c:lvl>
                  <c:pt idx="0">
                    <c:v>Cell</c:v>
                  </c:pt>
                  <c:pt idx="1">
                    <c:v>A34</c:v>
                  </c:pt>
                  <c:pt idx="2">
                    <c:v>A36</c:v>
                  </c:pt>
                  <c:pt idx="3">
                    <c:v>B36</c:v>
                  </c:pt>
                  <c:pt idx="4">
                    <c:v>A37</c:v>
                  </c:pt>
                  <c:pt idx="5">
                    <c:v>A38</c:v>
                  </c:pt>
                  <c:pt idx="6">
                    <c:v>A39</c:v>
                  </c:pt>
                  <c:pt idx="7">
                    <c:v>A40</c:v>
                  </c:pt>
                </c:lvl>
              </c:multiLvlStrCache>
            </c:multiLvlStrRef>
          </c:cat>
          <c:val>
            <c:numRef>
              <c:f>'EDA analysis'!$C$35:$C$43</c:f>
              <c:numCache>
                <c:formatCode>General</c:formatCode>
                <c:ptCount val="9"/>
                <c:pt idx="4">
                  <c:v>91</c:v>
                </c:pt>
                <c:pt idx="5">
                  <c:v>101</c:v>
                </c:pt>
                <c:pt idx="6">
                  <c:v>103</c:v>
                </c:pt>
                <c:pt idx="7">
                  <c:v>5</c:v>
                </c:pt>
                <c:pt idx="8">
                  <c:v>300</c:v>
                </c:pt>
              </c:numCache>
            </c:numRef>
          </c:val>
          <c:extLst>
            <c:ext xmlns:c16="http://schemas.microsoft.com/office/drawing/2014/chart" uri="{C3380CC4-5D6E-409C-BE32-E72D297353CC}">
              <c16:uniqueId val="{00000000-C5BD-45F5-8F74-B20ACED6D4EE}"/>
            </c:ext>
          </c:extLst>
        </c:ser>
        <c:dLbls>
          <c:showLegendKey val="0"/>
          <c:showVal val="0"/>
          <c:showCatName val="0"/>
          <c:showSerName val="0"/>
          <c:showPercent val="0"/>
          <c:showBubbleSize val="0"/>
        </c:dLbls>
        <c:gapWidth val="219"/>
        <c:overlap val="-27"/>
        <c:axId val="621884960"/>
        <c:axId val="128682480"/>
      </c:barChart>
      <c:catAx>
        <c:axId val="6218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82480"/>
        <c:crosses val="autoZero"/>
        <c:auto val="1"/>
        <c:lblAlgn val="ctr"/>
        <c:lblOffset val="100"/>
        <c:noMultiLvlLbl val="0"/>
      </c:catAx>
      <c:valAx>
        <c:axId val="12868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8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a:t>
            </a:r>
            <a:r>
              <a:rPr lang="en-IN" baseline="0"/>
              <a:t>t method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'EDA analysis'!$A$58:$A$68</c:f>
              <c:strCache>
                <c:ptCount val="11"/>
                <c:pt idx="0">
                  <c:v>A56 = Payment Method Analysis</c:v>
                </c:pt>
                <c:pt idx="2">
                  <c:v>A58 = Payment Method</c:v>
                </c:pt>
                <c:pt idx="3">
                  <c:v>B58 = Number of Orders</c:v>
                </c:pt>
                <c:pt idx="4">
                  <c:v>A59 = Credit Card</c:v>
                </c:pt>
                <c:pt idx="5">
                  <c:v>A60 = UPI</c:v>
                </c:pt>
                <c:pt idx="6">
                  <c:v>A61 = Cash</c:v>
                </c:pt>
                <c:pt idx="7">
                  <c:v>A62 = Debit Card</c:v>
                </c:pt>
                <c:pt idx="8">
                  <c:v>A63 = Net Banking</c:v>
                </c:pt>
                <c:pt idx="9">
                  <c:v>A64 = Unknown</c:v>
                </c:pt>
                <c:pt idx="10">
                  <c:v>Total</c:v>
                </c:pt>
              </c:strCache>
            </c:strRef>
          </c:cat>
          <c:val>
            <c:numRef>
              <c:f>'EDA analysis'!$B$58:$B$68</c:f>
              <c:numCache>
                <c:formatCode>General</c:formatCode>
                <c:ptCount val="11"/>
              </c:numCache>
            </c:numRef>
          </c:val>
          <c:extLst>
            <c:ext xmlns:c16="http://schemas.microsoft.com/office/drawing/2014/chart" uri="{C3380CC4-5D6E-409C-BE32-E72D297353CC}">
              <c16:uniqueId val="{00000000-9666-40A3-9DBF-1A0EA2A0061C}"/>
            </c:ext>
          </c:extLst>
        </c:ser>
        <c:ser>
          <c:idx val="1"/>
          <c:order val="1"/>
          <c:spPr>
            <a:solidFill>
              <a:schemeClr val="accent2"/>
            </a:solidFill>
            <a:ln>
              <a:noFill/>
            </a:ln>
            <a:effectLst/>
          </c:spPr>
          <c:invertIfNegative val="0"/>
          <c:cat>
            <c:strRef>
              <c:f>'EDA analysis'!$A$58:$A$68</c:f>
              <c:strCache>
                <c:ptCount val="11"/>
                <c:pt idx="0">
                  <c:v>A56 = Payment Method Analysis</c:v>
                </c:pt>
                <c:pt idx="2">
                  <c:v>A58 = Payment Method</c:v>
                </c:pt>
                <c:pt idx="3">
                  <c:v>B58 = Number of Orders</c:v>
                </c:pt>
                <c:pt idx="4">
                  <c:v>A59 = Credit Card</c:v>
                </c:pt>
                <c:pt idx="5">
                  <c:v>A60 = UPI</c:v>
                </c:pt>
                <c:pt idx="6">
                  <c:v>A61 = Cash</c:v>
                </c:pt>
                <c:pt idx="7">
                  <c:v>A62 = Debit Card</c:v>
                </c:pt>
                <c:pt idx="8">
                  <c:v>A63 = Net Banking</c:v>
                </c:pt>
                <c:pt idx="9">
                  <c:v>A64 = Unknown</c:v>
                </c:pt>
                <c:pt idx="10">
                  <c:v>Total</c:v>
                </c:pt>
              </c:strCache>
            </c:strRef>
          </c:cat>
          <c:val>
            <c:numRef>
              <c:f>'EDA analysis'!$C$58:$C$68</c:f>
              <c:numCache>
                <c:formatCode>General</c:formatCode>
                <c:ptCount val="11"/>
                <c:pt idx="4">
                  <c:v>58</c:v>
                </c:pt>
                <c:pt idx="5">
                  <c:v>57</c:v>
                </c:pt>
                <c:pt idx="6">
                  <c:v>51</c:v>
                </c:pt>
                <c:pt idx="7">
                  <c:v>65</c:v>
                </c:pt>
                <c:pt idx="8">
                  <c:v>63</c:v>
                </c:pt>
                <c:pt idx="9">
                  <c:v>6</c:v>
                </c:pt>
                <c:pt idx="10">
                  <c:v>300</c:v>
                </c:pt>
              </c:numCache>
            </c:numRef>
          </c:val>
          <c:extLst>
            <c:ext xmlns:c16="http://schemas.microsoft.com/office/drawing/2014/chart" uri="{C3380CC4-5D6E-409C-BE32-E72D297353CC}">
              <c16:uniqueId val="{00000001-9666-40A3-9DBF-1A0EA2A0061C}"/>
            </c:ext>
          </c:extLst>
        </c:ser>
        <c:dLbls>
          <c:showLegendKey val="0"/>
          <c:showVal val="0"/>
          <c:showCatName val="0"/>
          <c:showSerName val="0"/>
          <c:showPercent val="0"/>
          <c:showBubbleSize val="0"/>
        </c:dLbls>
        <c:gapWidth val="219"/>
        <c:overlap val="-27"/>
        <c:axId val="595889008"/>
        <c:axId val="128658480"/>
      </c:barChart>
      <c:catAx>
        <c:axId val="59588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58480"/>
        <c:crosses val="autoZero"/>
        <c:auto val="1"/>
        <c:lblAlgn val="ctr"/>
        <c:lblOffset val="100"/>
        <c:noMultiLvlLbl val="0"/>
      </c:catAx>
      <c:valAx>
        <c:axId val="12865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889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'EDA analysis'!$A$47:$A$56</c:f>
              <c:strCache>
                <c:ptCount val="10"/>
                <c:pt idx="0">
                  <c:v>A45:</c:v>
                </c:pt>
                <c:pt idx="1">
                  <c:v>B45: </c:v>
                </c:pt>
                <c:pt idx="2">
                  <c:v>A46 = Delhi</c:v>
                </c:pt>
                <c:pt idx="3">
                  <c:v>A47 = Mumbai</c:v>
                </c:pt>
                <c:pt idx="4">
                  <c:v>A48 = Chennai</c:v>
                </c:pt>
                <c:pt idx="5">
                  <c:v>A49 = Pune</c:v>
                </c:pt>
                <c:pt idx="6">
                  <c:v>A50 = Kolkata</c:v>
                </c:pt>
                <c:pt idx="7">
                  <c:v>A51 = Jaipur</c:v>
                </c:pt>
                <c:pt idx="8">
                  <c:v>A52 = Bangalore</c:v>
                </c:pt>
                <c:pt idx="9">
                  <c:v>A53 = Hyderabad</c:v>
                </c:pt>
              </c:strCache>
            </c:strRef>
          </c:cat>
          <c:val>
            <c:numRef>
              <c:f>'EDA analysis'!$B$47:$B$56</c:f>
              <c:numCache>
                <c:formatCode>General</c:formatCode>
                <c:ptCount val="10"/>
                <c:pt idx="0">
                  <c:v>0</c:v>
                </c:pt>
                <c:pt idx="1">
                  <c:v>0</c:v>
                </c:pt>
              </c:numCache>
            </c:numRef>
          </c:val>
          <c:extLst>
            <c:ext xmlns:c16="http://schemas.microsoft.com/office/drawing/2014/chart" uri="{C3380CC4-5D6E-409C-BE32-E72D297353CC}">
              <c16:uniqueId val="{00000000-B40C-403B-8558-4E9EC57B8867}"/>
            </c:ext>
          </c:extLst>
        </c:ser>
        <c:ser>
          <c:idx val="1"/>
          <c:order val="1"/>
          <c:spPr>
            <a:solidFill>
              <a:schemeClr val="accent2"/>
            </a:solidFill>
            <a:ln>
              <a:noFill/>
            </a:ln>
            <a:effectLst/>
          </c:spPr>
          <c:invertIfNegative val="0"/>
          <c:cat>
            <c:strRef>
              <c:f>'EDA analysis'!$A$47:$A$56</c:f>
              <c:strCache>
                <c:ptCount val="10"/>
                <c:pt idx="0">
                  <c:v>A45:</c:v>
                </c:pt>
                <c:pt idx="1">
                  <c:v>B45: </c:v>
                </c:pt>
                <c:pt idx="2">
                  <c:v>A46 = Delhi</c:v>
                </c:pt>
                <c:pt idx="3">
                  <c:v>A47 = Mumbai</c:v>
                </c:pt>
                <c:pt idx="4">
                  <c:v>A48 = Chennai</c:v>
                </c:pt>
                <c:pt idx="5">
                  <c:v>A49 = Pune</c:v>
                </c:pt>
                <c:pt idx="6">
                  <c:v>A50 = Kolkata</c:v>
                </c:pt>
                <c:pt idx="7">
                  <c:v>A51 = Jaipur</c:v>
                </c:pt>
                <c:pt idx="8">
                  <c:v>A52 = Bangalore</c:v>
                </c:pt>
                <c:pt idx="9">
                  <c:v>A53 = Hyderabad</c:v>
                </c:pt>
              </c:strCache>
            </c:strRef>
          </c:cat>
          <c:val>
            <c:numRef>
              <c:f>'EDA analysis'!$C$47:$C$56</c:f>
              <c:numCache>
                <c:formatCode>General</c:formatCode>
                <c:ptCount val="10"/>
                <c:pt idx="2" formatCode="_(&quot;₹&quot;* #,##0.00_);_(&quot;₹&quot;* \(#,##0.00\);_(&quot;₹&quot;* &quot;-&quot;??_);_(@_)">
                  <c:v>1015214</c:v>
                </c:pt>
                <c:pt idx="3" formatCode="_(&quot;₹&quot;* #,##0.00_);_(&quot;₹&quot;* \(#,##0.00\);_(&quot;₹&quot;* &quot;-&quot;??_);_(@_)">
                  <c:v>2093176</c:v>
                </c:pt>
                <c:pt idx="4" formatCode="_(&quot;₹&quot;* #,##0.00_);_(&quot;₹&quot;* \(#,##0.00\);_(&quot;₹&quot;* &quot;-&quot;??_);_(@_)">
                  <c:v>2093176</c:v>
                </c:pt>
                <c:pt idx="5" formatCode="_(&quot;₹&quot;* #,##0.00_);_(&quot;₹&quot;* \(#,##0.00\);_(&quot;₹&quot;* &quot;-&quot;??_);_(@_)">
                  <c:v>1956954</c:v>
                </c:pt>
                <c:pt idx="6" formatCode="_(&quot;₹&quot;* #,##0.00_);_(&quot;₹&quot;* \(#,##0.00\);_(&quot;₹&quot;* &quot;-&quot;??_);_(@_)">
                  <c:v>1956954</c:v>
                </c:pt>
                <c:pt idx="7" formatCode="_(&quot;₹&quot;* #,##0.00_);_(&quot;₹&quot;* \(#,##0.00\);_(&quot;₹&quot;* &quot;-&quot;??_);_(@_)">
                  <c:v>1956954</c:v>
                </c:pt>
                <c:pt idx="8" formatCode="_(&quot;₹&quot;* #,##0.00_);_(&quot;₹&quot;* \(#,##0.00\);_(&quot;₹&quot;* &quot;-&quot;??_);_(@_)">
                  <c:v>1956954</c:v>
                </c:pt>
                <c:pt idx="9" formatCode="_(&quot;₹&quot;* #,##0.00_);_(&quot;₹&quot;* \(#,##0.00\);_(&quot;₹&quot;* &quot;-&quot;??_);_(@_)">
                  <c:v>1956954</c:v>
                </c:pt>
              </c:numCache>
            </c:numRef>
          </c:val>
          <c:extLst>
            <c:ext xmlns:c16="http://schemas.microsoft.com/office/drawing/2014/chart" uri="{C3380CC4-5D6E-409C-BE32-E72D297353CC}">
              <c16:uniqueId val="{00000001-B40C-403B-8558-4E9EC57B8867}"/>
            </c:ext>
          </c:extLst>
        </c:ser>
        <c:dLbls>
          <c:showLegendKey val="0"/>
          <c:showVal val="0"/>
          <c:showCatName val="0"/>
          <c:showSerName val="0"/>
          <c:showPercent val="0"/>
          <c:showBubbleSize val="0"/>
        </c:dLbls>
        <c:gapWidth val="219"/>
        <c:overlap val="-27"/>
        <c:axId val="621826032"/>
        <c:axId val="128714160"/>
      </c:barChart>
      <c:catAx>
        <c:axId val="62182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14160"/>
        <c:crosses val="autoZero"/>
        <c:auto val="1"/>
        <c:lblAlgn val="ctr"/>
        <c:lblOffset val="100"/>
        <c:noMultiLvlLbl val="0"/>
      </c:catAx>
      <c:valAx>
        <c:axId val="12871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26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of monthly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'EDA analysis'!$A$74:$A$85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 analysis'!$B$74:$B$85</c:f>
              <c:numCache>
                <c:formatCode>"₹"#,##0_);[Red]\("₹"#,##0\)</c:formatCode>
                <c:ptCount val="12"/>
                <c:pt idx="0">
                  <c:v>850000</c:v>
                </c:pt>
                <c:pt idx="1">
                  <c:v>920000</c:v>
                </c:pt>
                <c:pt idx="2">
                  <c:v>780000</c:v>
                </c:pt>
                <c:pt idx="3">
                  <c:v>875000</c:v>
                </c:pt>
                <c:pt idx="4">
                  <c:v>940000</c:v>
                </c:pt>
                <c:pt idx="5">
                  <c:v>810000</c:v>
                </c:pt>
                <c:pt idx="6">
                  <c:v>895000</c:v>
                </c:pt>
                <c:pt idx="7">
                  <c:v>970000</c:v>
                </c:pt>
                <c:pt idx="8">
                  <c:v>1020000</c:v>
                </c:pt>
                <c:pt idx="9">
                  <c:v>930000</c:v>
                </c:pt>
                <c:pt idx="10">
                  <c:v>1080000</c:v>
                </c:pt>
                <c:pt idx="11">
                  <c:v>1296007</c:v>
                </c:pt>
              </c:numCache>
            </c:numRef>
          </c:val>
          <c:extLst>
            <c:ext xmlns:c16="http://schemas.microsoft.com/office/drawing/2014/chart" uri="{C3380CC4-5D6E-409C-BE32-E72D297353CC}">
              <c16:uniqueId val="{00000000-A6CA-402D-BA5A-5560FA4C3670}"/>
            </c:ext>
          </c:extLst>
        </c:ser>
        <c:dLbls>
          <c:showLegendKey val="0"/>
          <c:showVal val="0"/>
          <c:showCatName val="0"/>
          <c:showSerName val="0"/>
          <c:showPercent val="0"/>
          <c:showBubbleSize val="0"/>
        </c:dLbls>
        <c:gapWidth val="219"/>
        <c:overlap val="-27"/>
        <c:axId val="752034544"/>
        <c:axId val="641600816"/>
      </c:barChart>
      <c:catAx>
        <c:axId val="75203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600816"/>
        <c:crosses val="autoZero"/>
        <c:auto val="1"/>
        <c:lblAlgn val="ctr"/>
        <c:lblOffset val="100"/>
        <c:noMultiLvlLbl val="0"/>
      </c:catAx>
      <c:valAx>
        <c:axId val="641600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03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Accessories</c:v>
                </c:pt>
                <c:pt idx="1">
                  <c:v>Electronics</c:v>
                </c:pt>
                <c:pt idx="2">
                  <c:v>Wearables</c:v>
                </c:pt>
              </c:strCache>
            </c:strRef>
          </c:cat>
          <c:val>
            <c:numRef>
              <c:f>Sheet1!$B$4:$B$7</c:f>
              <c:numCache>
                <c:formatCode>General</c:formatCode>
                <c:ptCount val="3"/>
                <c:pt idx="0">
                  <c:v>420100</c:v>
                </c:pt>
                <c:pt idx="1">
                  <c:v>10303520</c:v>
                </c:pt>
                <c:pt idx="2">
                  <c:v>642387</c:v>
                </c:pt>
              </c:numCache>
            </c:numRef>
          </c:val>
          <c:extLst>
            <c:ext xmlns:c16="http://schemas.microsoft.com/office/drawing/2014/chart" uri="{C3380CC4-5D6E-409C-BE32-E72D297353CC}">
              <c16:uniqueId val="{00000000-F4FC-4897-866A-209F91D13A68}"/>
            </c:ext>
          </c:extLst>
        </c:ser>
        <c:dLbls>
          <c:showLegendKey val="0"/>
          <c:showVal val="0"/>
          <c:showCatName val="0"/>
          <c:showSerName val="0"/>
          <c:showPercent val="0"/>
          <c:showBubbleSize val="0"/>
        </c:dLbls>
        <c:gapWidth val="219"/>
        <c:overlap val="-27"/>
        <c:axId val="1678762991"/>
        <c:axId val="1513330415"/>
      </c:barChart>
      <c:catAx>
        <c:axId val="167876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330415"/>
        <c:crosses val="autoZero"/>
        <c:auto val="1"/>
        <c:lblAlgn val="ctr"/>
        <c:lblOffset val="100"/>
        <c:noMultiLvlLbl val="0"/>
      </c:catAx>
      <c:valAx>
        <c:axId val="151333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6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Sheet2!$A$4:$A$13</c:f>
              <c:strCache>
                <c:ptCount val="9"/>
                <c:pt idx="0">
                  <c:v> Laptop</c:v>
                </c:pt>
                <c:pt idx="1">
                  <c:v>Headphones</c:v>
                </c:pt>
                <c:pt idx="2">
                  <c:v>Keyboard</c:v>
                </c:pt>
                <c:pt idx="3">
                  <c:v>Laptop</c:v>
                </c:pt>
                <c:pt idx="4">
                  <c:v>Monitor</c:v>
                </c:pt>
                <c:pt idx="5">
                  <c:v>Mouse</c:v>
                </c:pt>
                <c:pt idx="6">
                  <c:v>Smartphone</c:v>
                </c:pt>
                <c:pt idx="7">
                  <c:v>Smartwatch</c:v>
                </c:pt>
                <c:pt idx="8">
                  <c:v>Tablet</c:v>
                </c:pt>
              </c:strCache>
            </c:strRef>
          </c:cat>
          <c:val>
            <c:numRef>
              <c:f>Sheet2!$B$4:$B$13</c:f>
              <c:numCache>
                <c:formatCode>General</c:formatCode>
                <c:ptCount val="9"/>
                <c:pt idx="0">
                  <c:v>45333</c:v>
                </c:pt>
                <c:pt idx="1">
                  <c:v>187636</c:v>
                </c:pt>
                <c:pt idx="2">
                  <c:v>128812</c:v>
                </c:pt>
                <c:pt idx="3">
                  <c:v>5156878</c:v>
                </c:pt>
                <c:pt idx="4">
                  <c:v>1062104</c:v>
                </c:pt>
                <c:pt idx="5">
                  <c:v>95297</c:v>
                </c:pt>
                <c:pt idx="6">
                  <c:v>2744389</c:v>
                </c:pt>
                <c:pt idx="7">
                  <c:v>632343</c:v>
                </c:pt>
                <c:pt idx="8">
                  <c:v>1313215</c:v>
                </c:pt>
              </c:numCache>
            </c:numRef>
          </c:val>
          <c:extLst>
            <c:ext xmlns:c16="http://schemas.microsoft.com/office/drawing/2014/chart" uri="{C3380CC4-5D6E-409C-BE32-E72D297353CC}">
              <c16:uniqueId val="{00000000-F062-4084-8986-2EE03715A488}"/>
            </c:ext>
          </c:extLst>
        </c:ser>
        <c:dLbls>
          <c:showLegendKey val="0"/>
          <c:showVal val="0"/>
          <c:showCatName val="0"/>
          <c:showSerName val="0"/>
          <c:showPercent val="0"/>
          <c:showBubbleSize val="0"/>
        </c:dLbls>
        <c:gapWidth val="219"/>
        <c:overlap val="-27"/>
        <c:axId val="1765787631"/>
        <c:axId val="1513340975"/>
      </c:barChart>
      <c:catAx>
        <c:axId val="176578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340975"/>
        <c:crosses val="autoZero"/>
        <c:auto val="1"/>
        <c:lblAlgn val="ctr"/>
        <c:lblOffset val="100"/>
        <c:noMultiLvlLbl val="0"/>
      </c:catAx>
      <c:valAx>
        <c:axId val="151334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78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Sheet3!$A$4:$A$15</c:f>
              <c:strCache>
                <c:ptCount val="11"/>
                <c:pt idx="0">
                  <c:v> Jaipur</c:v>
                </c:pt>
                <c:pt idx="1">
                  <c:v> Mumbai</c:v>
                </c:pt>
                <c:pt idx="2">
                  <c:v>Bangalore</c:v>
                </c:pt>
                <c:pt idx="3">
                  <c:v>Chennai</c:v>
                </c:pt>
                <c:pt idx="4">
                  <c:v>Delhi</c:v>
                </c:pt>
                <c:pt idx="5">
                  <c:v>Hyderabad</c:v>
                </c:pt>
                <c:pt idx="6">
                  <c:v>Jaipur</c:v>
                </c:pt>
                <c:pt idx="7">
                  <c:v>Kolkata</c:v>
                </c:pt>
                <c:pt idx="8">
                  <c:v>Mumbai</c:v>
                </c:pt>
                <c:pt idx="9">
                  <c:v>Pune</c:v>
                </c:pt>
                <c:pt idx="10">
                  <c:v>unknown</c:v>
                </c:pt>
              </c:strCache>
            </c:strRef>
          </c:cat>
          <c:val>
            <c:numRef>
              <c:f>Sheet3!$B$4:$B$15</c:f>
              <c:numCache>
                <c:formatCode>General</c:formatCode>
                <c:ptCount val="11"/>
                <c:pt idx="0">
                  <c:v>27688</c:v>
                </c:pt>
                <c:pt idx="1">
                  <c:v>161421</c:v>
                </c:pt>
                <c:pt idx="2">
                  <c:v>1064570</c:v>
                </c:pt>
                <c:pt idx="3">
                  <c:v>2380454</c:v>
                </c:pt>
                <c:pt idx="4">
                  <c:v>1015214</c:v>
                </c:pt>
                <c:pt idx="5">
                  <c:v>1591867</c:v>
                </c:pt>
                <c:pt idx="6">
                  <c:v>566993</c:v>
                </c:pt>
                <c:pt idx="7">
                  <c:v>1329700</c:v>
                </c:pt>
                <c:pt idx="8">
                  <c:v>1931755</c:v>
                </c:pt>
                <c:pt idx="9">
                  <c:v>1025391</c:v>
                </c:pt>
                <c:pt idx="10">
                  <c:v>270954</c:v>
                </c:pt>
              </c:numCache>
            </c:numRef>
          </c:val>
          <c:extLst>
            <c:ext xmlns:c16="http://schemas.microsoft.com/office/drawing/2014/chart" uri="{C3380CC4-5D6E-409C-BE32-E72D297353CC}">
              <c16:uniqueId val="{00000000-58EF-4864-84E7-01202296E499}"/>
            </c:ext>
          </c:extLst>
        </c:ser>
        <c:dLbls>
          <c:showLegendKey val="0"/>
          <c:showVal val="0"/>
          <c:showCatName val="0"/>
          <c:showSerName val="0"/>
          <c:showPercent val="0"/>
          <c:showBubbleSize val="0"/>
        </c:dLbls>
        <c:gapWidth val="219"/>
        <c:overlap val="-27"/>
        <c:axId val="1765755951"/>
        <c:axId val="1513247375"/>
      </c:barChart>
      <c:catAx>
        <c:axId val="176575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247375"/>
        <c:crosses val="autoZero"/>
        <c:auto val="1"/>
        <c:lblAlgn val="ctr"/>
        <c:lblOffset val="100"/>
        <c:noMultiLvlLbl val="0"/>
      </c:catAx>
      <c:valAx>
        <c:axId val="151324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75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[sales_dashboard.xlsx]Sheet4!PivotTable4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Cancelled</c:v>
                </c:pt>
                <c:pt idx="1">
                  <c:v>Completed</c:v>
                </c:pt>
                <c:pt idx="2">
                  <c:v>Pending</c:v>
                </c:pt>
                <c:pt idx="3">
                  <c:v>unknown</c:v>
                </c:pt>
              </c:strCache>
            </c:strRef>
          </c:cat>
          <c:val>
            <c:numRef>
              <c:f>Sheet4!$B$4:$B$8</c:f>
              <c:numCache>
                <c:formatCode>General</c:formatCode>
                <c:ptCount val="4"/>
                <c:pt idx="0">
                  <c:v>103</c:v>
                </c:pt>
                <c:pt idx="1">
                  <c:v>91</c:v>
                </c:pt>
                <c:pt idx="2">
                  <c:v>101</c:v>
                </c:pt>
                <c:pt idx="3">
                  <c:v>5</c:v>
                </c:pt>
              </c:numCache>
            </c:numRef>
          </c:val>
          <c:extLst>
            <c:ext xmlns:c16="http://schemas.microsoft.com/office/drawing/2014/chart" uri="{C3380CC4-5D6E-409C-BE32-E72D297353CC}">
              <c16:uniqueId val="{00000000-7456-433F-A450-85BE91C2FFEB}"/>
            </c:ext>
          </c:extLst>
        </c:ser>
        <c:dLbls>
          <c:showLegendKey val="0"/>
          <c:showVal val="0"/>
          <c:showCatName val="0"/>
          <c:showSerName val="0"/>
          <c:showPercent val="0"/>
          <c:showBubbleSize val="0"/>
        </c:dLbls>
        <c:gapWidth val="219"/>
        <c:overlap val="-27"/>
        <c:axId val="1768329391"/>
        <c:axId val="1513329455"/>
      </c:barChart>
      <c:catAx>
        <c:axId val="176832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329455"/>
        <c:crosses val="autoZero"/>
        <c:auto val="1"/>
        <c:lblAlgn val="ctr"/>
        <c:lblOffset val="100"/>
        <c:noMultiLvlLbl val="0"/>
      </c:catAx>
      <c:valAx>
        <c:axId val="151332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2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[sales_dashboard.xlsx]Sheet5!PivotTable5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Sheet5!$A$4:$A$11</c:f>
              <c:strCache>
                <c:ptCount val="7"/>
                <c:pt idx="0">
                  <c:v>Cash</c:v>
                </c:pt>
                <c:pt idx="1">
                  <c:v>Credit Card</c:v>
                </c:pt>
                <c:pt idx="2">
                  <c:v>Debit Card</c:v>
                </c:pt>
                <c:pt idx="3">
                  <c:v>Net Banking</c:v>
                </c:pt>
                <c:pt idx="4">
                  <c:v>unknown</c:v>
                </c:pt>
                <c:pt idx="5">
                  <c:v>UPI</c:v>
                </c:pt>
                <c:pt idx="6">
                  <c:v>UPI </c:v>
                </c:pt>
              </c:strCache>
            </c:strRef>
          </c:cat>
          <c:val>
            <c:numRef>
              <c:f>Sheet5!$B$4:$B$11</c:f>
              <c:numCache>
                <c:formatCode>General</c:formatCode>
                <c:ptCount val="7"/>
                <c:pt idx="0">
                  <c:v>51</c:v>
                </c:pt>
                <c:pt idx="1">
                  <c:v>58</c:v>
                </c:pt>
                <c:pt idx="2">
                  <c:v>65</c:v>
                </c:pt>
                <c:pt idx="3">
                  <c:v>63</c:v>
                </c:pt>
                <c:pt idx="4">
                  <c:v>6</c:v>
                </c:pt>
                <c:pt idx="5">
                  <c:v>55</c:v>
                </c:pt>
                <c:pt idx="6">
                  <c:v>2</c:v>
                </c:pt>
              </c:numCache>
            </c:numRef>
          </c:val>
          <c:extLst>
            <c:ext xmlns:c16="http://schemas.microsoft.com/office/drawing/2014/chart" uri="{C3380CC4-5D6E-409C-BE32-E72D297353CC}">
              <c16:uniqueId val="{00000000-5C13-4A43-A8AA-C5F3C1A71731}"/>
            </c:ext>
          </c:extLst>
        </c:ser>
        <c:dLbls>
          <c:showLegendKey val="0"/>
          <c:showVal val="0"/>
          <c:showCatName val="0"/>
          <c:showSerName val="0"/>
          <c:showPercent val="0"/>
          <c:showBubbleSize val="0"/>
        </c:dLbls>
        <c:gapWidth val="219"/>
        <c:overlap val="-27"/>
        <c:axId val="1689529567"/>
        <c:axId val="1513316015"/>
      </c:barChart>
      <c:catAx>
        <c:axId val="168952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316015"/>
        <c:crosses val="autoZero"/>
        <c:auto val="1"/>
        <c:lblAlgn val="ctr"/>
        <c:lblOffset val="100"/>
        <c:noMultiLvlLbl val="0"/>
      </c:catAx>
      <c:valAx>
        <c:axId val="151331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52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[sales_dashboard.xlsx]Sheet6!PivotTable6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Sheet6!$A$4:$A$23</c:f>
              <c:strCache>
                <c:ptCount val="19"/>
                <c:pt idx="0">
                  <c:v>11</c:v>
                </c:pt>
                <c:pt idx="1">
                  <c:v>12</c:v>
                </c:pt>
                <c:pt idx="2">
                  <c:v>13</c:v>
                </c:pt>
                <c:pt idx="3">
                  <c:v>14</c:v>
                </c:pt>
                <c:pt idx="4">
                  <c:v>15</c:v>
                </c:pt>
                <c:pt idx="5">
                  <c:v>16</c:v>
                </c:pt>
                <c:pt idx="6">
                  <c:v>17</c:v>
                </c:pt>
                <c:pt idx="7">
                  <c:v>18</c:v>
                </c:pt>
                <c:pt idx="8">
                  <c:v>19</c:v>
                </c:pt>
                <c:pt idx="9">
                  <c:v>21</c:v>
                </c:pt>
                <c:pt idx="10">
                  <c:v>22</c:v>
                </c:pt>
                <c:pt idx="11">
                  <c:v>23</c:v>
                </c:pt>
                <c:pt idx="12">
                  <c:v>24</c:v>
                </c:pt>
                <c:pt idx="13">
                  <c:v>25</c:v>
                </c:pt>
                <c:pt idx="14">
                  <c:v>26</c:v>
                </c:pt>
                <c:pt idx="15">
                  <c:v>27</c:v>
                </c:pt>
                <c:pt idx="16">
                  <c:v>28</c:v>
                </c:pt>
                <c:pt idx="17">
                  <c:v>29</c:v>
                </c:pt>
                <c:pt idx="18">
                  <c:v>31</c:v>
                </c:pt>
              </c:strCache>
            </c:strRef>
          </c:cat>
          <c:val>
            <c:numRef>
              <c:f>Sheet6!$B$4:$B$23</c:f>
              <c:numCache>
                <c:formatCode>General</c:formatCode>
                <c:ptCount val="19"/>
                <c:pt idx="0">
                  <c:v>930760</c:v>
                </c:pt>
                <c:pt idx="1">
                  <c:v>306996</c:v>
                </c:pt>
                <c:pt idx="2">
                  <c:v>1000073</c:v>
                </c:pt>
                <c:pt idx="3">
                  <c:v>738039</c:v>
                </c:pt>
                <c:pt idx="4">
                  <c:v>929350</c:v>
                </c:pt>
                <c:pt idx="5">
                  <c:v>911884</c:v>
                </c:pt>
                <c:pt idx="6">
                  <c:v>740350</c:v>
                </c:pt>
                <c:pt idx="7">
                  <c:v>619206</c:v>
                </c:pt>
                <c:pt idx="8">
                  <c:v>946594</c:v>
                </c:pt>
                <c:pt idx="9">
                  <c:v>378050</c:v>
                </c:pt>
                <c:pt idx="10">
                  <c:v>551575</c:v>
                </c:pt>
                <c:pt idx="11">
                  <c:v>401630</c:v>
                </c:pt>
                <c:pt idx="12">
                  <c:v>658107</c:v>
                </c:pt>
                <c:pt idx="13">
                  <c:v>360475</c:v>
                </c:pt>
                <c:pt idx="14">
                  <c:v>301586</c:v>
                </c:pt>
                <c:pt idx="15">
                  <c:v>964640</c:v>
                </c:pt>
                <c:pt idx="16">
                  <c:v>84575</c:v>
                </c:pt>
                <c:pt idx="17">
                  <c:v>226442</c:v>
                </c:pt>
                <c:pt idx="18">
                  <c:v>315675</c:v>
                </c:pt>
              </c:numCache>
            </c:numRef>
          </c:val>
          <c:extLst>
            <c:ext xmlns:c16="http://schemas.microsoft.com/office/drawing/2014/chart" uri="{C3380CC4-5D6E-409C-BE32-E72D297353CC}">
              <c16:uniqueId val="{00000000-80A4-4F8C-9220-CB81D9A7449F}"/>
            </c:ext>
          </c:extLst>
        </c:ser>
        <c:dLbls>
          <c:showLegendKey val="0"/>
          <c:showVal val="0"/>
          <c:showCatName val="0"/>
          <c:showSerName val="0"/>
          <c:showPercent val="0"/>
          <c:showBubbleSize val="0"/>
        </c:dLbls>
        <c:gapWidth val="219"/>
        <c:overlap val="-27"/>
        <c:axId val="1689536063"/>
        <c:axId val="1513243535"/>
      </c:barChart>
      <c:catAx>
        <c:axId val="168953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243535"/>
        <c:crosses val="autoZero"/>
        <c:auto val="1"/>
        <c:lblAlgn val="ctr"/>
        <c:lblOffset val="100"/>
        <c:noMultiLvlLbl val="0"/>
      </c:catAx>
      <c:valAx>
        <c:axId val="151324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53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236220</xdr:colOff>
      <xdr:row>10</xdr:row>
      <xdr:rowOff>160020</xdr:rowOff>
    </xdr:from>
    <xdr:to>
      <xdr:col>10</xdr:col>
      <xdr:colOff>487680</xdr:colOff>
      <xdr:row>20</xdr:row>
      <xdr:rowOff>152400</xdr:rowOff>
    </xdr:to>
    <xdr:graphicFrame macro="">
      <xdr:nvGraphicFramePr>
        <xdr:cNvPr id="4" name="Chart 3">
          <a:extLst>
            <a:ext uri="{FF2B5EF4-FFF2-40B4-BE49-F238E27FC236}">
              <a16:creationId xmlns:a16="http://schemas.microsoft.com/office/drawing/2014/main" id="{B2ABFF39-5154-B142-7D69-E076B539C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243840</xdr:colOff>
      <xdr:row>22</xdr:row>
      <xdr:rowOff>83820</xdr:rowOff>
    </xdr:from>
    <xdr:to>
      <xdr:col>10</xdr:col>
      <xdr:colOff>548640</xdr:colOff>
      <xdr:row>32</xdr:row>
      <xdr:rowOff>83820</xdr:rowOff>
    </xdr:to>
    <xdr:graphicFrame macro="">
      <xdr:nvGraphicFramePr>
        <xdr:cNvPr id="6" name="Chart 5">
          <a:extLst>
            <a:ext uri="{FF2B5EF4-FFF2-40B4-BE49-F238E27FC236}">
              <a16:creationId xmlns:a16="http://schemas.microsoft.com/office/drawing/2014/main" id="{4B10A71C-8E69-10C3-CBC8-734F1EB65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281940</xdr:colOff>
      <xdr:row>32</xdr:row>
      <xdr:rowOff>274320</xdr:rowOff>
    </xdr:from>
    <xdr:to>
      <xdr:col>10</xdr:col>
      <xdr:colOff>586740</xdr:colOff>
      <xdr:row>43</xdr:row>
      <xdr:rowOff>91440</xdr:rowOff>
    </xdr:to>
    <xdr:graphicFrame macro="">
      <xdr:nvGraphicFramePr>
        <xdr:cNvPr id="7" name="Chart 6">
          <a:extLst>
            <a:ext uri="{FF2B5EF4-FFF2-40B4-BE49-F238E27FC236}">
              <a16:creationId xmlns:a16="http://schemas.microsoft.com/office/drawing/2014/main" id="{202BE652-99AF-F491-9119-5FE6ABEF8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396240</xdr:colOff>
      <xdr:row>57</xdr:row>
      <xdr:rowOff>15240</xdr:rowOff>
    </xdr:from>
    <xdr:to>
      <xdr:col>12</xdr:col>
      <xdr:colOff>68580</xdr:colOff>
      <xdr:row>69</xdr:row>
      <xdr:rowOff>38100</xdr:rowOff>
    </xdr:to>
    <xdr:graphicFrame macro="">
      <xdr:nvGraphicFramePr>
        <xdr:cNvPr id="8" name="Chart 7">
          <a:extLst>
            <a:ext uri="{FF2B5EF4-FFF2-40B4-BE49-F238E27FC236}">
              <a16:creationId xmlns:a16="http://schemas.microsoft.com/office/drawing/2014/main" id="{5B27D66F-9BA7-51FF-81E9-B2A02BB76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243840</xdr:colOff>
      <xdr:row>44</xdr:row>
      <xdr:rowOff>15240</xdr:rowOff>
    </xdr:from>
    <xdr:to>
      <xdr:col>11</xdr:col>
      <xdr:colOff>213360</xdr:colOff>
      <xdr:row>56</xdr:row>
      <xdr:rowOff>0</xdr:rowOff>
    </xdr:to>
    <xdr:graphicFrame macro="">
      <xdr:nvGraphicFramePr>
        <xdr:cNvPr id="9" name="Chart 8">
          <a:extLst>
            <a:ext uri="{FF2B5EF4-FFF2-40B4-BE49-F238E27FC236}">
              <a16:creationId xmlns:a16="http://schemas.microsoft.com/office/drawing/2014/main" id="{B280BD49-3651-8329-707F-50B6A089F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190500</xdr:colOff>
      <xdr:row>71</xdr:row>
      <xdr:rowOff>15240</xdr:rowOff>
    </xdr:from>
    <xdr:to>
      <xdr:col>10</xdr:col>
      <xdr:colOff>495300</xdr:colOff>
      <xdr:row>84</xdr:row>
      <xdr:rowOff>15240</xdr:rowOff>
    </xdr:to>
    <xdr:graphicFrame macro="">
      <xdr:nvGraphicFramePr>
        <xdr:cNvPr id="10" name="Chart 9">
          <a:extLst>
            <a:ext uri="{FF2B5EF4-FFF2-40B4-BE49-F238E27FC236}">
              <a16:creationId xmlns:a16="http://schemas.microsoft.com/office/drawing/2014/main" id="{70AC2B9B-FBC9-6F88-78C6-BF8639455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7</xdr:col>
      <xdr:colOff>38100</xdr:colOff>
      <xdr:row>20</xdr:row>
      <xdr:rowOff>0</xdr:rowOff>
    </xdr:to>
    <xdr:graphicFrame macro="">
      <xdr:nvGraphicFramePr>
        <xdr:cNvPr id="2" name="Chart 1">
          <a:extLst>
            <a:ext uri="{FF2B5EF4-FFF2-40B4-BE49-F238E27FC236}">
              <a16:creationId xmlns:a16="http://schemas.microsoft.com/office/drawing/2014/main" id="{5E34F936-F473-4B75-B4A1-F5BB6E1E7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12095</xdr:colOff>
      <xdr:row>5</xdr:row>
      <xdr:rowOff>24190</xdr:rowOff>
    </xdr:from>
    <xdr:to>
      <xdr:col>15</xdr:col>
      <xdr:colOff>316895</xdr:colOff>
      <xdr:row>20</xdr:row>
      <xdr:rowOff>24191</xdr:rowOff>
    </xdr:to>
    <xdr:graphicFrame macro="">
      <xdr:nvGraphicFramePr>
        <xdr:cNvPr id="3" name="Chart 2">
          <a:extLst>
            <a:ext uri="{FF2B5EF4-FFF2-40B4-BE49-F238E27FC236}">
              <a16:creationId xmlns:a16="http://schemas.microsoft.com/office/drawing/2014/main" id="{A71CD35E-6E7C-4CE2-9F51-7C81D4F11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435429</xdr:colOff>
      <xdr:row>5</xdr:row>
      <xdr:rowOff>84666</xdr:rowOff>
    </xdr:from>
    <xdr:to>
      <xdr:col>24</xdr:col>
      <xdr:colOff>135467</xdr:colOff>
      <xdr:row>20</xdr:row>
      <xdr:rowOff>84667</xdr:rowOff>
    </xdr:to>
    <xdr:graphicFrame macro="">
      <xdr:nvGraphicFramePr>
        <xdr:cNvPr id="4" name="Chart 3">
          <a:extLst>
            <a:ext uri="{FF2B5EF4-FFF2-40B4-BE49-F238E27FC236}">
              <a16:creationId xmlns:a16="http://schemas.microsoft.com/office/drawing/2014/main" id="{BA665D1D-EF33-4B98-992D-0726BF301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96762</xdr:colOff>
      <xdr:row>23</xdr:row>
      <xdr:rowOff>133048</xdr:rowOff>
    </xdr:from>
    <xdr:to>
      <xdr:col>15</xdr:col>
      <xdr:colOff>435429</xdr:colOff>
      <xdr:row>38</xdr:row>
      <xdr:rowOff>154819</xdr:rowOff>
    </xdr:to>
    <xdr:graphicFrame macro="">
      <xdr:nvGraphicFramePr>
        <xdr:cNvPr id="5" name="Chart 4">
          <a:extLst>
            <a:ext uri="{FF2B5EF4-FFF2-40B4-BE49-F238E27FC236}">
              <a16:creationId xmlns:a16="http://schemas.microsoft.com/office/drawing/2014/main" id="{F5317E72-55AD-463B-ACEB-1AD5AB3A4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483810</xdr:colOff>
      <xdr:row>24</xdr:row>
      <xdr:rowOff>12095</xdr:rowOff>
    </xdr:from>
    <xdr:to>
      <xdr:col>6</xdr:col>
      <xdr:colOff>532191</xdr:colOff>
      <xdr:row>39</xdr:row>
      <xdr:rowOff>33867</xdr:rowOff>
    </xdr:to>
    <xdr:graphicFrame macro="">
      <xdr:nvGraphicFramePr>
        <xdr:cNvPr id="6" name="Chart 5">
          <a:extLst>
            <a:ext uri="{FF2B5EF4-FFF2-40B4-BE49-F238E27FC236}">
              <a16:creationId xmlns:a16="http://schemas.microsoft.com/office/drawing/2014/main" id="{451A1410-3C32-4B14-8C44-6AA0AA13D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399143</xdr:colOff>
      <xdr:row>23</xdr:row>
      <xdr:rowOff>48381</xdr:rowOff>
    </xdr:from>
    <xdr:to>
      <xdr:col>24</xdr:col>
      <xdr:colOff>133048</xdr:colOff>
      <xdr:row>38</xdr:row>
      <xdr:rowOff>70152</xdr:rowOff>
    </xdr:to>
    <xdr:graphicFrame macro="">
      <xdr:nvGraphicFramePr>
        <xdr:cNvPr id="7" name="Chart 6">
          <a:extLst>
            <a:ext uri="{FF2B5EF4-FFF2-40B4-BE49-F238E27FC236}">
              <a16:creationId xmlns:a16="http://schemas.microsoft.com/office/drawing/2014/main" id="{41D90F02-FABD-4F90-A283-AA3687C16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31</xdr:col>
      <xdr:colOff>513530</xdr:colOff>
      <xdr:row>6</xdr:row>
      <xdr:rowOff>75561</xdr:rowOff>
    </xdr:from>
    <xdr:to>
      <xdr:col>34</xdr:col>
      <xdr:colOff>528044</xdr:colOff>
      <xdr:row>20</xdr:row>
      <xdr:rowOff>2537</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25E60BEE-3BC5-DAF6-71E0-F18A6B85FF0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652101" y="1406037"/>
              <a:ext cx="1828800" cy="2466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364637</xdr:colOff>
      <xdr:row>6</xdr:row>
      <xdr:rowOff>47622</xdr:rowOff>
    </xdr:from>
    <xdr:to>
      <xdr:col>31</xdr:col>
      <xdr:colOff>379152</xdr:colOff>
      <xdr:row>19</xdr:row>
      <xdr:rowOff>161209</xdr:rowOff>
    </xdr:to>
    <mc:AlternateContent xmlns:mc="http://schemas.openxmlformats.org/markup-compatibility/2006">
      <mc:Choice xmlns:a14="http://schemas.microsoft.com/office/drawing/2010/main" Requires="a14">
        <xdr:graphicFrame macro="">
          <xdr:nvGraphicFramePr>
            <xdr:cNvPr id="9" name="Order_Status">
              <a:extLst>
                <a:ext uri="{FF2B5EF4-FFF2-40B4-BE49-F238E27FC236}">
                  <a16:creationId xmlns:a16="http://schemas.microsoft.com/office/drawing/2014/main" id="{D451017C-E734-8C42-0D16-CF1D35B72E79}"/>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18688923" y="1378098"/>
              <a:ext cx="1828800" cy="2472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253758</xdr:colOff>
      <xdr:row>6</xdr:row>
      <xdr:rowOff>93980</xdr:rowOff>
    </xdr:from>
    <xdr:to>
      <xdr:col>28</xdr:col>
      <xdr:colOff>268271</xdr:colOff>
      <xdr:row>20</xdr:row>
      <xdr:rowOff>20955</xdr:rowOff>
    </xdr:to>
    <mc:AlternateContent xmlns:mc="http://schemas.openxmlformats.org/markup-compatibility/2006">
      <mc:Choice xmlns:a14="http://schemas.microsoft.com/office/drawing/2010/main" Requires="a14">
        <xdr:graphicFrame macro="">
          <xdr:nvGraphicFramePr>
            <xdr:cNvPr id="10" name="city_clean">
              <a:extLst>
                <a:ext uri="{FF2B5EF4-FFF2-40B4-BE49-F238E27FC236}">
                  <a16:creationId xmlns:a16="http://schemas.microsoft.com/office/drawing/2014/main" id="{1753AE4E-69EF-2B74-6E5B-DF5980A46078}"/>
                </a:ext>
              </a:extLst>
            </xdr:cNvPr>
            <xdr:cNvGraphicFramePr/>
          </xdr:nvGraphicFramePr>
          <xdr:xfrm>
            <a:off x="0" y="0"/>
            <a:ext cx="0" cy="0"/>
          </xdr:xfrm>
          <a:graphic>
            <a:graphicData uri="http://schemas.microsoft.com/office/drawing/2010/slicer">
              <sle:slicer xmlns:sle="http://schemas.microsoft.com/office/drawing/2010/slicer" name="city_clean"/>
            </a:graphicData>
          </a:graphic>
        </xdr:graphicFrame>
      </mc:Choice>
      <mc:Fallback>
        <xdr:sp macro="" textlink="">
          <xdr:nvSpPr>
            <xdr:cNvPr id="0" name=""/>
            <xdr:cNvSpPr>
              <a:spLocks noTextEdit="1"/>
            </xdr:cNvSpPr>
          </xdr:nvSpPr>
          <xdr:spPr>
            <a:xfrm>
              <a:off x="16763758" y="1424456"/>
              <a:ext cx="182879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24</xdr:col>
      <xdr:colOff>520095</xdr:colOff>
      <xdr:row>23</xdr:row>
      <xdr:rowOff>108857</xdr:rowOff>
    </xdr:from>
    <xdr:ext cx="6023429" cy="2515810"/>
    <xdr:sp macro="" textlink="">
      <xdr:nvSpPr>
        <xdr:cNvPr id="11" name="TextBox 10">
          <a:extLst>
            <a:ext uri="{FF2B5EF4-FFF2-40B4-BE49-F238E27FC236}">
              <a16:creationId xmlns:a16="http://schemas.microsoft.com/office/drawing/2014/main" id="{3F7AC4AC-DB99-29E4-EE4E-3CE690D3781A}"/>
            </a:ext>
          </a:extLst>
        </xdr:cNvPr>
        <xdr:cNvSpPr txBox="1"/>
      </xdr:nvSpPr>
      <xdr:spPr>
        <a:xfrm>
          <a:off x="16425333" y="4523619"/>
          <a:ext cx="6023429" cy="2515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rtl="0"/>
          <a:r>
            <a:rPr lang="en-IN" sz="1800"/>
            <a:t>Electronics is the top category, making up about 91% of total sales.</a:t>
          </a:r>
        </a:p>
        <a:p>
          <a:pPr lvl="0" rtl="0"/>
          <a:r>
            <a:rPr lang="en-IN" sz="1800"/>
            <a:t>Laptop is the best-selling product, followed by Smartphone.</a:t>
          </a:r>
        </a:p>
        <a:p>
          <a:pPr lvl="0" rtl="0"/>
          <a:r>
            <a:rPr lang="en-IN" sz="1800"/>
            <a:t>Chennai is the top city by sales, followed by Mumbai.</a:t>
          </a:r>
        </a:p>
        <a:p>
          <a:pPr lvl="0" rtl="0"/>
          <a:r>
            <a:rPr lang="en-IN" sz="1800"/>
            <a:t>Only about 30% of orders are Completed, while Cancelled (103) and Pending (101) orders are each higher than Completed (91).</a:t>
          </a:r>
        </a:p>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7.748424537036" createdVersion="8" refreshedVersion="8" minRefreshableVersion="3" recordCount="300" xr:uid="{B316EEA6-2293-448F-B2E4-13EA59361FBB}">
  <cacheSource type="worksheet">
    <worksheetSource name="data"/>
  </cacheSource>
  <cacheFields count="14">
    <cacheField name="Order_ID" numFmtId="0">
      <sharedItems count="163">
        <s v="ORD1111"/>
        <s v="ORD1112"/>
        <s v="ORD1113"/>
        <s v="ORD1114"/>
        <s v="ORD1115"/>
        <s v="ORD1116"/>
        <s v="ORD1117"/>
        <s v="ORD1118"/>
        <s v="ORD1119"/>
        <s v="ORD1121"/>
        <s v="ORD1122"/>
        <s v="ORD1123"/>
        <s v="ORD1124"/>
        <s v="ORD1125"/>
        <s v="ORD1126"/>
        <s v="ORD1127"/>
        <s v="ORD1128"/>
        <s v="ORD1129"/>
        <s v="ORD1131"/>
        <s v="ORD1132"/>
        <s v="ORD1133"/>
        <s v="ORD1134"/>
        <s v="ORD1135"/>
        <s v="ORD1136"/>
        <s v="ORD1137"/>
        <s v="ORD1138"/>
        <s v="ORD1139"/>
        <s v="ORD1141"/>
        <s v="ORD1142"/>
        <s v="ORD1143"/>
        <s v="ORD1144"/>
        <s v="ORD1145"/>
        <s v="ORD1146"/>
        <s v="ORD1147"/>
        <s v="ORD1148"/>
        <s v="ORD1149"/>
        <s v="ORD1151"/>
        <s v="ORD1152"/>
        <s v="ORD1153"/>
        <s v="ORD1154"/>
        <s v="ORD1155"/>
        <s v="ORD1156"/>
        <s v="ORD1157"/>
        <s v="ORD1158"/>
        <s v="ORD1159"/>
        <s v="ORD1161"/>
        <s v="ORD1162"/>
        <s v="ORD1163"/>
        <s v="ORD1164"/>
        <s v="ORD1165"/>
        <s v="ORD1166"/>
        <s v="ORD1167"/>
        <s v="ORD1168"/>
        <s v="ORD1169"/>
        <s v="ORD1171"/>
        <s v="ORD1172"/>
        <s v="ORD1173"/>
        <s v="ORD1174"/>
        <s v="ORD1175"/>
        <s v="ORD1176"/>
        <s v="ORD1177"/>
        <s v="ORD1178"/>
        <s v="ORD1179"/>
        <s v="ORD1181"/>
        <s v="ORD1182"/>
        <s v="ORD1183"/>
        <s v="ORD1184"/>
        <s v="ORD1185"/>
        <s v="ORD1186"/>
        <s v="ORD1187"/>
        <s v="ORD1188"/>
        <s v="ORD1189"/>
        <s v="ORD1191"/>
        <s v="ORD1192"/>
        <s v="ORD1193"/>
        <s v="ORD1194"/>
        <s v="ORD1195"/>
        <s v="ORD1196"/>
        <s v="ORD1197"/>
        <s v="ORD1198"/>
        <s v="ORD1199"/>
        <s v="ORD1211"/>
        <s v="ORD1212"/>
        <s v="ORD1213"/>
        <s v="ORD1214"/>
        <s v="ORD1215"/>
        <s v="ORD1216"/>
        <s v="ORD1217"/>
        <s v="ORD1218"/>
        <s v="ORD1219"/>
        <s v="ORD1221"/>
        <s v="ORD1222"/>
        <s v="ORD1223"/>
        <s v="ORD1224"/>
        <s v="ORD1225"/>
        <s v="ORD1226"/>
        <s v="ORD1227"/>
        <s v="ORD1228"/>
        <s v="ORD1229"/>
        <s v="ORD1231"/>
        <s v="ORD1232"/>
        <s v="ORD1233"/>
        <s v="ORD1234"/>
        <s v="ORD1235"/>
        <s v="ORD1236"/>
        <s v="ORD1237"/>
        <s v="ORD1238"/>
        <s v="ORD1239"/>
        <s v="ORD1241"/>
        <s v="ORD1242"/>
        <s v="ORD1243"/>
        <s v="ORD1244"/>
        <s v="ORD1245"/>
        <s v="ORD1246"/>
        <s v="ORD1247"/>
        <s v="ORD1248"/>
        <s v="ORD1249"/>
        <s v="ORD1251"/>
        <s v="ORD1252"/>
        <s v="ORD1253"/>
        <s v="ORD1254"/>
        <s v="ORD1255"/>
        <s v="ORD1256"/>
        <s v="ORD1257"/>
        <s v="ORD1258"/>
        <s v="ORD1259"/>
        <s v="ORD1261"/>
        <s v="ORD1262"/>
        <s v="ORD1263"/>
        <s v="ORD1264"/>
        <s v="ORD1265"/>
        <s v="ORD1266"/>
        <s v="ORD1267"/>
        <s v="ORD1268"/>
        <s v="ORD1269"/>
        <s v="ORD1271"/>
        <s v="ORD1272"/>
        <s v="ORD1273"/>
        <s v="ORD1274"/>
        <s v="ORD1275"/>
        <s v="ORD1276"/>
        <s v="ORD1277"/>
        <s v="ORD1278"/>
        <s v="ORD1279"/>
        <s v="ORD1281"/>
        <s v="ORD1282"/>
        <s v="ORD1283"/>
        <s v="ORD1284"/>
        <s v="ORD1285"/>
        <s v="ORD1286"/>
        <s v="ORD1287"/>
        <s v="ORD1288"/>
        <s v="ORD1289"/>
        <s v="ORD1291"/>
        <s v="ORD1292"/>
        <s v="ORD1293"/>
        <s v="ORD1294"/>
        <s v="ORD1295"/>
        <s v="ORD1296"/>
        <s v="ORD1297"/>
        <s v="ORD1298"/>
        <s v="ORD1299"/>
        <s v="ORD1311"/>
      </sharedItems>
    </cacheField>
    <cacheField name="Customer_ID" numFmtId="0">
      <sharedItems/>
    </cacheField>
    <cacheField name="Order_Date" numFmtId="14">
      <sharedItems/>
    </cacheField>
    <cacheField name="Product" numFmtId="0">
      <sharedItems count="9">
        <s v="Smartphone"/>
        <s v="Laptop"/>
        <s v="Mouse"/>
        <s v="Monitor"/>
        <s v="Keyboard"/>
        <s v="Smartwatch"/>
        <s v=" Laptop"/>
        <s v="Tablet"/>
        <s v="Headphones"/>
      </sharedItems>
    </cacheField>
    <cacheField name="Category" numFmtId="0">
      <sharedItems count="3">
        <s v="Electronics"/>
        <s v="Accessories"/>
        <s v="Wearables"/>
      </sharedItems>
    </cacheField>
    <cacheField name="Quantity" numFmtId="0">
      <sharedItems containsMixedTypes="1" containsNumber="1" containsInteger="1" minValue="0" maxValue="4"/>
    </cacheField>
    <cacheField name="Unit_Price" numFmtId="0">
      <sharedItems containsSemiMixedTypes="0" containsString="0" containsNumber="1" containsInteger="1" minValue="411" maxValue="68111"/>
    </cacheField>
    <cacheField name="City" numFmtId="0">
      <sharedItems count="11">
        <s v="Delhi"/>
        <s v="Mumbai"/>
        <s v="Chennai"/>
        <s v="Pune"/>
        <s v="Kolkata"/>
        <s v=" Jaipur"/>
        <s v="Bangalore"/>
        <s v="Hyderabad"/>
        <s v="Jaipur"/>
        <s v="unknown"/>
        <s v=" Mumbai"/>
      </sharedItems>
    </cacheField>
    <cacheField name="Payment_Method" numFmtId="0">
      <sharedItems count="7">
        <s v="Credit Card"/>
        <s v="UPI"/>
        <s v="Cash"/>
        <s v="Debit Card"/>
        <s v="Net Banking"/>
        <s v="unknown"/>
        <s v="UPI "/>
      </sharedItems>
    </cacheField>
    <cacheField name="Order_Status" numFmtId="0">
      <sharedItems count="4">
        <s v="Completed"/>
        <s v="Pending"/>
        <s v="Cancelled"/>
        <s v="unknown"/>
      </sharedItems>
    </cacheField>
    <cacheField name="city_clean" numFmtId="0">
      <sharedItems count="9">
        <s v="Delhi"/>
        <s v="Mumbai"/>
        <s v="Chennai"/>
        <s v="Pune"/>
        <s v="Kolkata"/>
        <s v="Jaipur"/>
        <s v="Bangalore"/>
        <s v="Hyderabad"/>
        <s v="Unknown"/>
      </sharedItems>
    </cacheField>
    <cacheField name="Column1" numFmtId="0">
      <sharedItems/>
    </cacheField>
    <cacheField name="sales" numFmtId="0">
      <sharedItems containsSemiMixedTypes="0" containsString="0" containsNumber="1" containsInteger="1" minValue="0" maxValue="272444"/>
    </cacheField>
    <cacheField name="day" numFmtId="0">
      <sharedItems containsSemiMixedTypes="0" containsString="0" containsNumber="1" containsInteger="1" minValue="11" maxValue="31" count="19">
        <n v="17"/>
        <n v="24"/>
        <n v="12"/>
        <n v="21"/>
        <n v="25"/>
        <n v="18"/>
        <n v="15"/>
        <n v="14"/>
        <n v="11"/>
        <n v="19"/>
        <n v="13"/>
        <n v="26"/>
        <n v="22"/>
        <n v="16"/>
        <n v="29"/>
        <n v="31"/>
        <n v="28"/>
        <n v="27"/>
        <n v="23"/>
      </sharedItems>
    </cacheField>
  </cacheFields>
  <extLst>
    <ext xmlns:x14="http://schemas.microsoft.com/office/spreadsheetml/2009/9/main" uri="{725AE2AE-9491-48be-B2B4-4EB974FC3084}">
      <x14:pivotCacheDefinition pivotCacheId="915577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CUST1114"/>
    <s v="17-111125"/>
    <x v="0"/>
    <x v="0"/>
    <s v="1"/>
    <n v="22111"/>
    <x v="0"/>
    <x v="0"/>
    <x v="0"/>
    <x v="0"/>
    <s v="payment_mentod"/>
    <n v="22111"/>
    <x v="0"/>
  </r>
  <r>
    <x v="1"/>
    <s v="CUST1136"/>
    <s v="24-161125"/>
    <x v="1"/>
    <x v="0"/>
    <n v="2"/>
    <n v="68111"/>
    <x v="1"/>
    <x v="0"/>
    <x v="1"/>
    <x v="1"/>
    <s v="Credit Card"/>
    <n v="136222"/>
    <x v="1"/>
  </r>
  <r>
    <x v="2"/>
    <s v="CUST1116"/>
    <s v="12-111125"/>
    <x v="0"/>
    <x v="0"/>
    <n v="1"/>
    <n v="15111"/>
    <x v="2"/>
    <x v="1"/>
    <x v="2"/>
    <x v="2"/>
    <s v="Credit Card"/>
    <n v="15111"/>
    <x v="2"/>
  </r>
  <r>
    <x v="3"/>
    <s v="CUST1149"/>
    <s v="21-121125"/>
    <x v="2"/>
    <x v="1"/>
    <n v="3"/>
    <n v="411"/>
    <x v="3"/>
    <x v="2"/>
    <x v="2"/>
    <x v="3"/>
    <s v="UPI"/>
    <n v="1233"/>
    <x v="3"/>
  </r>
  <r>
    <x v="4"/>
    <s v="CUST1161"/>
    <s v="25-131125"/>
    <x v="3"/>
    <x v="0"/>
    <n v="2"/>
    <n v="9111"/>
    <x v="2"/>
    <x v="3"/>
    <x v="2"/>
    <x v="2"/>
    <s v="Cash"/>
    <n v="18222"/>
    <x v="4"/>
  </r>
  <r>
    <x v="5"/>
    <s v="CUST1192"/>
    <s v="18-111125"/>
    <x v="4"/>
    <x v="1"/>
    <n v="3"/>
    <n v="1211"/>
    <x v="4"/>
    <x v="0"/>
    <x v="2"/>
    <x v="4"/>
    <s v="Debit Card"/>
    <n v="3633"/>
    <x v="5"/>
  </r>
  <r>
    <x v="6"/>
    <s v="CUST1129"/>
    <s v="15-171125"/>
    <x v="5"/>
    <x v="2"/>
    <n v="4"/>
    <n v="9111"/>
    <x v="1"/>
    <x v="4"/>
    <x v="1"/>
    <x v="1"/>
    <s v="Credit Card"/>
    <n v="36444"/>
    <x v="6"/>
  </r>
  <r>
    <x v="7"/>
    <s v="CUST1161"/>
    <s v="12-111125"/>
    <x v="0"/>
    <x v="0"/>
    <n v="1"/>
    <n v="22111"/>
    <x v="3"/>
    <x v="4"/>
    <x v="0"/>
    <x v="3"/>
    <s v="Net Banking"/>
    <n v="22111"/>
    <x v="2"/>
  </r>
  <r>
    <x v="8"/>
    <s v="CUST1198"/>
    <s v="14-191125"/>
    <x v="6"/>
    <x v="0"/>
    <n v="3"/>
    <n v="15111"/>
    <x v="1"/>
    <x v="4"/>
    <x v="0"/>
    <x v="1"/>
    <s v="Net Banking"/>
    <n v="45333"/>
    <x v="7"/>
  </r>
  <r>
    <x v="0"/>
    <s v="CUST1115"/>
    <s v="11-111125"/>
    <x v="2"/>
    <x v="1"/>
    <n v="2"/>
    <n v="1111"/>
    <x v="5"/>
    <x v="3"/>
    <x v="0"/>
    <x v="5"/>
    <s v="Net Banking"/>
    <n v="2222"/>
    <x v="8"/>
  </r>
  <r>
    <x v="0"/>
    <s v="CUST1122"/>
    <s v="19-111125"/>
    <x v="1"/>
    <x v="0"/>
    <n v="2"/>
    <n v="45111"/>
    <x v="3"/>
    <x v="4"/>
    <x v="2"/>
    <x v="3"/>
    <s v="Debit Card"/>
    <n v="90222"/>
    <x v="9"/>
  </r>
  <r>
    <x v="1"/>
    <s v="CUST1132"/>
    <s v="13-131125"/>
    <x v="7"/>
    <x v="0"/>
    <n v="2"/>
    <n v="35111"/>
    <x v="6"/>
    <x v="5"/>
    <x v="1"/>
    <x v="6"/>
    <s v="Net Banking"/>
    <n v="70222"/>
    <x v="10"/>
  </r>
  <r>
    <x v="2"/>
    <s v="CUST1143"/>
    <s v="17-111125"/>
    <x v="1"/>
    <x v="0"/>
    <n v="1"/>
    <n v="52111"/>
    <x v="0"/>
    <x v="4"/>
    <x v="0"/>
    <x v="0"/>
    <s v="Unknown"/>
    <n v="52111"/>
    <x v="0"/>
  </r>
  <r>
    <x v="3"/>
    <s v="CUST1185"/>
    <s v="19-121125"/>
    <x v="2"/>
    <x v="1"/>
    <n v="4"/>
    <n v="711"/>
    <x v="2"/>
    <x v="3"/>
    <x v="1"/>
    <x v="2"/>
    <s v="Net Banking"/>
    <n v="2844"/>
    <x v="9"/>
  </r>
  <r>
    <x v="4"/>
    <s v="CUST1125"/>
    <s v="19-141125"/>
    <x v="7"/>
    <x v="0"/>
    <n v="4"/>
    <n v="12111"/>
    <x v="7"/>
    <x v="0"/>
    <x v="1"/>
    <x v="7"/>
    <s v="Debit Card"/>
    <n v="48444"/>
    <x v="9"/>
  </r>
  <r>
    <x v="5"/>
    <s v="CUST1197"/>
    <s v="17-121125"/>
    <x v="8"/>
    <x v="1"/>
    <n v="3"/>
    <n v="1211"/>
    <x v="6"/>
    <x v="0"/>
    <x v="1"/>
    <x v="6"/>
    <s v="Credit Card"/>
    <n v="3633"/>
    <x v="0"/>
  </r>
  <r>
    <x v="6"/>
    <s v="CUST1137"/>
    <s v="21-181125"/>
    <x v="5"/>
    <x v="2"/>
    <n v="4"/>
    <n v="6511"/>
    <x v="2"/>
    <x v="4"/>
    <x v="2"/>
    <x v="2"/>
    <s v="Credit Card"/>
    <n v="26044"/>
    <x v="3"/>
  </r>
  <r>
    <x v="7"/>
    <s v="CUST1175"/>
    <s v="26-111125"/>
    <x v="5"/>
    <x v="2"/>
    <n v="2"/>
    <n v="2511"/>
    <x v="7"/>
    <x v="4"/>
    <x v="2"/>
    <x v="7"/>
    <s v="Net Banking"/>
    <n v="5022"/>
    <x v="11"/>
  </r>
  <r>
    <x v="8"/>
    <s v="CUST1132"/>
    <s v="19-111125"/>
    <x v="8"/>
    <x v="1"/>
    <n v="1"/>
    <n v="1211"/>
    <x v="8"/>
    <x v="4"/>
    <x v="0"/>
    <x v="5"/>
    <s v="Net Banking"/>
    <n v="1211"/>
    <x v="9"/>
  </r>
  <r>
    <x v="9"/>
    <s v="CUST1141"/>
    <s v="18-212313"/>
    <x v="7"/>
    <x v="0"/>
    <n v="3"/>
    <n v="18111"/>
    <x v="0"/>
    <x v="1"/>
    <x v="1"/>
    <x v="0"/>
    <s v="Net Banking"/>
    <n v="54333"/>
    <x v="5"/>
  </r>
  <r>
    <x v="9"/>
    <s v="CUST1157"/>
    <s v="22-131125"/>
    <x v="0"/>
    <x v="0"/>
    <n v="1"/>
    <n v="31111"/>
    <x v="3"/>
    <x v="4"/>
    <x v="3"/>
    <x v="3"/>
    <s v="UPI"/>
    <n v="31111"/>
    <x v="12"/>
  </r>
  <r>
    <x v="10"/>
    <s v="CUST1127"/>
    <s v="16-111125"/>
    <x v="1"/>
    <x v="0"/>
    <n v="3"/>
    <n v="45111"/>
    <x v="4"/>
    <x v="0"/>
    <x v="2"/>
    <x v="4"/>
    <s v="Net Banking"/>
    <n v="135333"/>
    <x v="13"/>
  </r>
  <r>
    <x v="11"/>
    <s v="CUST1199"/>
    <s v="21-161125"/>
    <x v="2"/>
    <x v="1"/>
    <n v="4"/>
    <n v="711"/>
    <x v="1"/>
    <x v="5"/>
    <x v="0"/>
    <x v="1"/>
    <s v="Credit Card"/>
    <n v="2844"/>
    <x v="3"/>
  </r>
  <r>
    <x v="12"/>
    <s v="CUST1117"/>
    <s v="19-181125"/>
    <x v="5"/>
    <x v="2"/>
    <n v="4"/>
    <n v="4111"/>
    <x v="8"/>
    <x v="3"/>
    <x v="1"/>
    <x v="5"/>
    <s v="Unknown"/>
    <n v="16444"/>
    <x v="9"/>
  </r>
  <r>
    <x v="13"/>
    <s v="CUST1123"/>
    <s v="25-131125"/>
    <x v="1"/>
    <x v="0"/>
    <n v="3"/>
    <n v="52111"/>
    <x v="2"/>
    <x v="1"/>
    <x v="0"/>
    <x v="2"/>
    <s v="Debit Card"/>
    <n v="156333"/>
    <x v="4"/>
  </r>
  <r>
    <x v="14"/>
    <s v="CUST1126"/>
    <s v="24-141125"/>
    <x v="3"/>
    <x v="0"/>
    <n v="4"/>
    <n v="22111"/>
    <x v="7"/>
    <x v="3"/>
    <x v="1"/>
    <x v="7"/>
    <s v="UPI"/>
    <n v="88444"/>
    <x v="1"/>
  </r>
  <r>
    <x v="15"/>
    <s v="CUST1166"/>
    <s v="25-111125"/>
    <x v="4"/>
    <x v="1"/>
    <n v="2"/>
    <n v="1211"/>
    <x v="2"/>
    <x v="4"/>
    <x v="1"/>
    <x v="2"/>
    <s v="Debit Card"/>
    <n v="2422"/>
    <x v="4"/>
  </r>
  <r>
    <x v="16"/>
    <s v="CUST1178"/>
    <s v="12-181125"/>
    <x v="1"/>
    <x v="0"/>
    <n v="1"/>
    <n v="61111"/>
    <x v="0"/>
    <x v="2"/>
    <x v="2"/>
    <x v="0"/>
    <s v="Net Banking"/>
    <n v="61111"/>
    <x v="2"/>
  </r>
  <r>
    <x v="17"/>
    <s v="CUST1186"/>
    <s v="15-121125"/>
    <x v="4"/>
    <x v="1"/>
    <n v="0"/>
    <n v="1811"/>
    <x v="4"/>
    <x v="4"/>
    <x v="1"/>
    <x v="4"/>
    <s v="Cash"/>
    <n v="0"/>
    <x v="6"/>
  </r>
  <r>
    <x v="18"/>
    <s v="CUST1186"/>
    <s v="14-181125"/>
    <x v="0"/>
    <x v="0"/>
    <n v="3"/>
    <n v="42111"/>
    <x v="2"/>
    <x v="0"/>
    <x v="2"/>
    <x v="2"/>
    <s v="Net Banking"/>
    <n v="126333"/>
    <x v="7"/>
  </r>
  <r>
    <x v="18"/>
    <s v="CUST1187"/>
    <s v="15-181125"/>
    <x v="2"/>
    <x v="1"/>
    <n v="4"/>
    <n v="711"/>
    <x v="6"/>
    <x v="4"/>
    <x v="1"/>
    <x v="6"/>
    <s v="Credit Card"/>
    <n v="2844"/>
    <x v="6"/>
  </r>
  <r>
    <x v="19"/>
    <s v="CUST1114"/>
    <s v="17-131125"/>
    <x v="8"/>
    <x v="1"/>
    <n v="1"/>
    <n v="1211"/>
    <x v="8"/>
    <x v="0"/>
    <x v="1"/>
    <x v="5"/>
    <s v="Net Banking"/>
    <n v="1211"/>
    <x v="0"/>
  </r>
  <r>
    <x v="20"/>
    <s v="CUST1111"/>
    <s v="24-121125"/>
    <x v="0"/>
    <x v="0"/>
    <n v="4"/>
    <n v="22111"/>
    <x v="2"/>
    <x v="0"/>
    <x v="0"/>
    <x v="2"/>
    <s v="Credit Card"/>
    <n v="88444"/>
    <x v="1"/>
  </r>
  <r>
    <x v="21"/>
    <s v="CUST1158"/>
    <s v="18-111125"/>
    <x v="5"/>
    <x v="2"/>
    <n v="1"/>
    <n v="9111"/>
    <x v="1"/>
    <x v="2"/>
    <x v="1"/>
    <x v="1"/>
    <s v="Credit Card"/>
    <n v="9111"/>
    <x v="5"/>
  </r>
  <r>
    <x v="22"/>
    <s v="CUST1143"/>
    <s v="21-151125"/>
    <x v="2"/>
    <x v="1"/>
    <n v="2"/>
    <n v="711"/>
    <x v="4"/>
    <x v="4"/>
    <x v="0"/>
    <x v="4"/>
    <s v="Cash"/>
    <n v="1422"/>
    <x v="3"/>
  </r>
  <r>
    <x v="23"/>
    <s v="CUST1171"/>
    <s v="19-161125"/>
    <x v="8"/>
    <x v="1"/>
    <n v="2"/>
    <n v="1811"/>
    <x v="7"/>
    <x v="2"/>
    <x v="0"/>
    <x v="7"/>
    <s v="Net Banking"/>
    <n v="3622"/>
    <x v="9"/>
  </r>
  <r>
    <x v="24"/>
    <s v="CUST1169"/>
    <s v="13-181125"/>
    <x v="4"/>
    <x v="1"/>
    <n v="4"/>
    <n v="1211"/>
    <x v="6"/>
    <x v="2"/>
    <x v="0"/>
    <x v="6"/>
    <s v="Cash"/>
    <n v="4844"/>
    <x v="10"/>
  </r>
  <r>
    <x v="25"/>
    <s v="CUST1181"/>
    <s v="17-131125"/>
    <x v="2"/>
    <x v="1"/>
    <n v="4"/>
    <n v="1111"/>
    <x v="8"/>
    <x v="2"/>
    <x v="2"/>
    <x v="5"/>
    <s v="Cash"/>
    <n v="4444"/>
    <x v="0"/>
  </r>
  <r>
    <x v="26"/>
    <s v="CUST1159"/>
    <s v="19-141125"/>
    <x v="1"/>
    <x v="0"/>
    <n v="1"/>
    <n v="68111"/>
    <x v="4"/>
    <x v="3"/>
    <x v="1"/>
    <x v="4"/>
    <s v="Cash"/>
    <n v="68111"/>
    <x v="9"/>
  </r>
  <r>
    <x v="27"/>
    <s v="CUST1119"/>
    <s v="29-111125"/>
    <x v="2"/>
    <x v="1"/>
    <n v="4"/>
    <n v="1111"/>
    <x v="8"/>
    <x v="1"/>
    <x v="0"/>
    <x v="5"/>
    <s v="Debit Card"/>
    <n v="4444"/>
    <x v="14"/>
  </r>
  <r>
    <x v="27"/>
    <s v="CUST1133"/>
    <s v="25-121125"/>
    <x v="4"/>
    <x v="1"/>
    <n v="1"/>
    <n v="1211"/>
    <x v="4"/>
    <x v="0"/>
    <x v="2"/>
    <x v="4"/>
    <s v="UPI"/>
    <n v="1211"/>
    <x v="4"/>
  </r>
  <r>
    <x v="28"/>
    <s v="CUST1176"/>
    <s v="18-121125"/>
    <x v="0"/>
    <x v="0"/>
    <n v="2"/>
    <n v="15111"/>
    <x v="6"/>
    <x v="1"/>
    <x v="2"/>
    <x v="6"/>
    <s v="Credit Card"/>
    <n v="30222"/>
    <x v="5"/>
  </r>
  <r>
    <x v="29"/>
    <s v="CUST1163"/>
    <s v="14-181125"/>
    <x v="2"/>
    <x v="1"/>
    <n v="1"/>
    <n v="711"/>
    <x v="0"/>
    <x v="2"/>
    <x v="1"/>
    <x v="0"/>
    <s v="UPI"/>
    <n v="711"/>
    <x v="7"/>
  </r>
  <r>
    <x v="30"/>
    <s v="CUST1135"/>
    <s v="31-111125"/>
    <x v="5"/>
    <x v="2"/>
    <n v="2"/>
    <n v="9111"/>
    <x v="5"/>
    <x v="0"/>
    <x v="0"/>
    <x v="5"/>
    <s v="Cash"/>
    <n v="18222"/>
    <x v="15"/>
  </r>
  <r>
    <x v="31"/>
    <s v="CUST1128"/>
    <s v="17-191125"/>
    <x v="2"/>
    <x v="1"/>
    <n v="4"/>
    <n v="411"/>
    <x v="4"/>
    <x v="3"/>
    <x v="1"/>
    <x v="4"/>
    <s v="Credit Card"/>
    <n v="1644"/>
    <x v="0"/>
  </r>
  <r>
    <x v="32"/>
    <s v="CUST1161"/>
    <s v="21-121125"/>
    <x v="2"/>
    <x v="1"/>
    <n v="3"/>
    <n v="1111"/>
    <x v="7"/>
    <x v="2"/>
    <x v="0"/>
    <x v="7"/>
    <s v="Debit Card"/>
    <n v="3333"/>
    <x v="3"/>
  </r>
  <r>
    <x v="33"/>
    <s v="CUST1196"/>
    <s v="16-181125"/>
    <x v="0"/>
    <x v="0"/>
    <n v="3"/>
    <n v="42111"/>
    <x v="4"/>
    <x v="3"/>
    <x v="2"/>
    <x v="4"/>
    <s v="Cash"/>
    <n v="126333"/>
    <x v="13"/>
  </r>
  <r>
    <x v="34"/>
    <s v="CUST1198"/>
    <s v="12-111125"/>
    <x v="5"/>
    <x v="2"/>
    <n v="3"/>
    <n v="2511"/>
    <x v="1"/>
    <x v="0"/>
    <x v="0"/>
    <x v="1"/>
    <s v="Debit Card"/>
    <n v="7533"/>
    <x v="2"/>
  </r>
  <r>
    <x v="35"/>
    <s v="CUST1191"/>
    <s v="18-111125"/>
    <x v="5"/>
    <x v="2"/>
    <n v="3"/>
    <n v="6511"/>
    <x v="1"/>
    <x v="3"/>
    <x v="0"/>
    <x v="1"/>
    <s v="Credit Card"/>
    <n v="19533"/>
    <x v="5"/>
  </r>
  <r>
    <x v="36"/>
    <s v="CUST1144"/>
    <s v="14-181125"/>
    <x v="1"/>
    <x v="0"/>
    <n v="3"/>
    <n v="52111"/>
    <x v="1"/>
    <x v="1"/>
    <x v="1"/>
    <x v="1"/>
    <s v="Debit Card"/>
    <n v="156333"/>
    <x v="7"/>
  </r>
  <r>
    <x v="36"/>
    <s v="CUST1139"/>
    <s v="16-111125"/>
    <x v="5"/>
    <x v="2"/>
    <n v="1"/>
    <n v="4111"/>
    <x v="0"/>
    <x v="0"/>
    <x v="0"/>
    <x v="0"/>
    <s v="UPI"/>
    <n v="4111"/>
    <x v="13"/>
  </r>
  <r>
    <x v="37"/>
    <s v="CUST1195"/>
    <s v="19-111125"/>
    <x v="7"/>
    <x v="0"/>
    <n v="2"/>
    <n v="25111"/>
    <x v="0"/>
    <x v="0"/>
    <x v="2"/>
    <x v="0"/>
    <s v="Credit Card"/>
    <n v="50222"/>
    <x v="9"/>
  </r>
  <r>
    <x v="38"/>
    <s v="CUST1158"/>
    <s v="29-171125"/>
    <x v="4"/>
    <x v="1"/>
    <n v="3"/>
    <n v="711"/>
    <x v="7"/>
    <x v="3"/>
    <x v="0"/>
    <x v="7"/>
    <s v="Credit Card"/>
    <n v="2133"/>
    <x v="14"/>
  </r>
  <r>
    <x v="39"/>
    <s v="CUST1171"/>
    <s v="28-121125"/>
    <x v="4"/>
    <x v="1"/>
    <n v="3"/>
    <n v="1811"/>
    <x v="6"/>
    <x v="0"/>
    <x v="1"/>
    <x v="6"/>
    <s v="Debit Card"/>
    <n v="5433"/>
    <x v="16"/>
  </r>
  <r>
    <x v="40"/>
    <s v="CUST1189"/>
    <s v="28-181125"/>
    <x v="8"/>
    <x v="1"/>
    <n v="1"/>
    <n v="2511"/>
    <x v="3"/>
    <x v="2"/>
    <x v="1"/>
    <x v="3"/>
    <s v="Credit Card"/>
    <n v="2511"/>
    <x v="16"/>
  </r>
  <r>
    <x v="41"/>
    <s v="CUST1187"/>
    <s v="28-141125"/>
    <x v="0"/>
    <x v="2"/>
    <n v="4"/>
    <n v="2511"/>
    <x v="8"/>
    <x v="3"/>
    <x v="2"/>
    <x v="5"/>
    <s v="Cash"/>
    <n v="10044"/>
    <x v="16"/>
  </r>
  <r>
    <x v="42"/>
    <s v="CUST1145"/>
    <s v="29-181125"/>
    <x v="1"/>
    <x v="0"/>
    <n v="2"/>
    <n v="68111"/>
    <x v="2"/>
    <x v="3"/>
    <x v="1"/>
    <x v="2"/>
    <s v="Debit Card"/>
    <n v="136222"/>
    <x v="14"/>
  </r>
  <r>
    <x v="43"/>
    <s v="CUST1141"/>
    <s v="15-121125"/>
    <x v="0"/>
    <x v="0"/>
    <n v="1"/>
    <n v="42111"/>
    <x v="3"/>
    <x v="3"/>
    <x v="0"/>
    <x v="3"/>
    <s v="Debit Card"/>
    <n v="42111"/>
    <x v="6"/>
  </r>
  <r>
    <x v="44"/>
    <s v="CUST1127"/>
    <s v="27-111125"/>
    <x v="7"/>
    <x v="0"/>
    <n v="1"/>
    <n v="35111"/>
    <x v="9"/>
    <x v="4"/>
    <x v="0"/>
    <x v="8"/>
    <s v="Debit Card"/>
    <n v="35111"/>
    <x v="17"/>
  </r>
  <r>
    <x v="45"/>
    <s v="CUST1112"/>
    <s v="11-111125"/>
    <x v="2"/>
    <x v="1"/>
    <n v="4"/>
    <n v="1111"/>
    <x v="2"/>
    <x v="1"/>
    <x v="0"/>
    <x v="2"/>
    <s v="Net Banking"/>
    <n v="4444"/>
    <x v="8"/>
  </r>
  <r>
    <x v="45"/>
    <s v="CUST1132"/>
    <s v="21-251823"/>
    <x v="0"/>
    <x v="0"/>
    <n v="4"/>
    <n v="22111"/>
    <x v="9"/>
    <x v="4"/>
    <x v="0"/>
    <x v="8"/>
    <s v="UPI"/>
    <n v="88444"/>
    <x v="3"/>
  </r>
  <r>
    <x v="46"/>
    <s v="CUST1176"/>
    <s v="12-161125"/>
    <x v="7"/>
    <x v="0"/>
    <n v="2"/>
    <n v="12111"/>
    <x v="7"/>
    <x v="0"/>
    <x v="1"/>
    <x v="7"/>
    <s v="Net Banking"/>
    <n v="24222"/>
    <x v="2"/>
  </r>
  <r>
    <x v="47"/>
    <s v="CUST1116"/>
    <s v="31-171125"/>
    <x v="5"/>
    <x v="2"/>
    <n v="3"/>
    <n v="4111"/>
    <x v="4"/>
    <x v="2"/>
    <x v="2"/>
    <x v="4"/>
    <s v="Credit Card"/>
    <n v="12333"/>
    <x v="15"/>
  </r>
  <r>
    <x v="48"/>
    <s v="CUST1168"/>
    <s v="21-121125"/>
    <x v="7"/>
    <x v="0"/>
    <n v="4"/>
    <n v="12111"/>
    <x v="7"/>
    <x v="1"/>
    <x v="2"/>
    <x v="7"/>
    <s v="Cash"/>
    <n v="48444"/>
    <x v="3"/>
  </r>
  <r>
    <x v="49"/>
    <s v="CUST1169"/>
    <s v="12-121125"/>
    <x v="8"/>
    <x v="1"/>
    <n v="4"/>
    <n v="3511"/>
    <x v="2"/>
    <x v="3"/>
    <x v="2"/>
    <x v="2"/>
    <s v="UPI"/>
    <n v="14044"/>
    <x v="2"/>
  </r>
  <r>
    <x v="50"/>
    <s v="CUST1191"/>
    <s v="21-111125"/>
    <x v="5"/>
    <x v="2"/>
    <n v="1"/>
    <n v="2511"/>
    <x v="0"/>
    <x v="5"/>
    <x v="0"/>
    <x v="0"/>
    <s v="Debit Card"/>
    <n v="2511"/>
    <x v="3"/>
  </r>
  <r>
    <x v="51"/>
    <s v="CUST1168"/>
    <s v="16-151125"/>
    <x v="2"/>
    <x v="1"/>
    <s v="1"/>
    <n v="711"/>
    <x v="2"/>
    <x v="4"/>
    <x v="2"/>
    <x v="2"/>
    <s v="Unknown"/>
    <n v="711"/>
    <x v="13"/>
  </r>
  <r>
    <x v="52"/>
    <s v="CUST1161"/>
    <s v="29-141125"/>
    <x v="8"/>
    <x v="1"/>
    <n v="2"/>
    <n v="3511"/>
    <x v="3"/>
    <x v="2"/>
    <x v="1"/>
    <x v="3"/>
    <s v="Net Banking"/>
    <n v="7022"/>
    <x v="14"/>
  </r>
  <r>
    <x v="53"/>
    <s v="CUST1139"/>
    <s v="22-181125"/>
    <x v="1"/>
    <x v="0"/>
    <n v="4"/>
    <n v="61111"/>
    <x v="6"/>
    <x v="2"/>
    <x v="3"/>
    <x v="6"/>
    <s v="Cash"/>
    <n v="244444"/>
    <x v="12"/>
  </r>
  <r>
    <x v="54"/>
    <s v="CUST1173"/>
    <s v="15-111125"/>
    <x v="0"/>
    <x v="0"/>
    <n v="2"/>
    <n v="31111"/>
    <x v="8"/>
    <x v="4"/>
    <x v="2"/>
    <x v="5"/>
    <s v="Cash"/>
    <n v="62222"/>
    <x v="6"/>
  </r>
  <r>
    <x v="54"/>
    <s v="CUST1183"/>
    <s v="18-111125"/>
    <x v="5"/>
    <x v="2"/>
    <n v="3"/>
    <n v="2511"/>
    <x v="8"/>
    <x v="3"/>
    <x v="1"/>
    <x v="5"/>
    <s v="Net Banking"/>
    <n v="7533"/>
    <x v="5"/>
  </r>
  <r>
    <x v="55"/>
    <s v="CUST1171"/>
    <s v="19-131125"/>
    <x v="1"/>
    <x v="0"/>
    <n v="3"/>
    <n v="52111"/>
    <x v="4"/>
    <x v="4"/>
    <x v="2"/>
    <x v="4"/>
    <s v="Debit Card"/>
    <n v="156333"/>
    <x v="9"/>
  </r>
  <r>
    <x v="56"/>
    <s v="CUST1197"/>
    <s v="14-131125"/>
    <x v="2"/>
    <x v="1"/>
    <n v="2"/>
    <n v="711"/>
    <x v="6"/>
    <x v="2"/>
    <x v="2"/>
    <x v="6"/>
    <s v="Net Banking"/>
    <n v="1422"/>
    <x v="7"/>
  </r>
  <r>
    <x v="57"/>
    <s v="CUST1149"/>
    <s v="27-111125"/>
    <x v="3"/>
    <x v="0"/>
    <n v="1"/>
    <n v="22111"/>
    <x v="4"/>
    <x v="1"/>
    <x v="2"/>
    <x v="4"/>
    <s v="Cash"/>
    <n v="22111"/>
    <x v="17"/>
  </r>
  <r>
    <x v="58"/>
    <s v="CUST1118"/>
    <s v="11-131125"/>
    <x v="4"/>
    <x v="1"/>
    <n v="4"/>
    <n v="1811"/>
    <x v="8"/>
    <x v="1"/>
    <x v="1"/>
    <x v="5"/>
    <s v="UPI"/>
    <n v="7244"/>
    <x v="8"/>
  </r>
  <r>
    <x v="59"/>
    <s v="CUST1184"/>
    <s v="11-181125"/>
    <x v="5"/>
    <x v="2"/>
    <n v="0"/>
    <n v="4111"/>
    <x v="0"/>
    <x v="2"/>
    <x v="2"/>
    <x v="0"/>
    <s v="UPI"/>
    <n v="0"/>
    <x v="8"/>
  </r>
  <r>
    <x v="60"/>
    <s v="CUST1148"/>
    <s v="18-121125"/>
    <x v="7"/>
    <x v="0"/>
    <n v="3"/>
    <n v="25111"/>
    <x v="4"/>
    <x v="1"/>
    <x v="1"/>
    <x v="4"/>
    <s v="Cash"/>
    <n v="75333"/>
    <x v="5"/>
  </r>
  <r>
    <x v="61"/>
    <s v="CUST1117"/>
    <s v="15-151125"/>
    <x v="2"/>
    <x v="1"/>
    <n v="2"/>
    <n v="411"/>
    <x v="6"/>
    <x v="1"/>
    <x v="2"/>
    <x v="6"/>
    <s v="UPI"/>
    <n v="822"/>
    <x v="6"/>
  </r>
  <r>
    <x v="62"/>
    <s v="CUST1133"/>
    <s v="14-111125"/>
    <x v="4"/>
    <x v="1"/>
    <n v="2"/>
    <n v="1811"/>
    <x v="1"/>
    <x v="1"/>
    <x v="2"/>
    <x v="1"/>
    <s v="UPI"/>
    <n v="3622"/>
    <x v="7"/>
  </r>
  <r>
    <x v="63"/>
    <s v="CUST1117"/>
    <s v="27-111125"/>
    <x v="1"/>
    <x v="0"/>
    <n v="2"/>
    <n v="45111"/>
    <x v="2"/>
    <x v="4"/>
    <x v="0"/>
    <x v="2"/>
    <s v="UPI"/>
    <n v="90222"/>
    <x v="17"/>
  </r>
  <r>
    <x v="63"/>
    <s v="CUST1183"/>
    <s v="23-181125"/>
    <x v="0"/>
    <x v="0"/>
    <n v="4"/>
    <n v="31111"/>
    <x v="8"/>
    <x v="1"/>
    <x v="1"/>
    <x v="5"/>
    <s v="Net Banking"/>
    <n v="124444"/>
    <x v="18"/>
  </r>
  <r>
    <x v="64"/>
    <s v="CUST1136"/>
    <s v="16-131125"/>
    <x v="7"/>
    <x v="0"/>
    <n v="4"/>
    <n v="18111"/>
    <x v="4"/>
    <x v="2"/>
    <x v="2"/>
    <x v="4"/>
    <s v="UPI"/>
    <n v="72444"/>
    <x v="13"/>
  </r>
  <r>
    <x v="65"/>
    <s v="CUST1153"/>
    <s v="27-141125"/>
    <x v="2"/>
    <x v="1"/>
    <n v="4"/>
    <n v="1111"/>
    <x v="4"/>
    <x v="5"/>
    <x v="3"/>
    <x v="4"/>
    <s v="Cash"/>
    <n v="4444"/>
    <x v="17"/>
  </r>
  <r>
    <x v="66"/>
    <s v="CUST1112"/>
    <s v="14-121125"/>
    <x v="7"/>
    <x v="0"/>
    <n v="1"/>
    <n v="18111"/>
    <x v="0"/>
    <x v="1"/>
    <x v="1"/>
    <x v="0"/>
    <s v="Unknown"/>
    <n v="18111"/>
    <x v="7"/>
  </r>
  <r>
    <x v="67"/>
    <s v="CUST1137"/>
    <s v="27-111125"/>
    <x v="0"/>
    <x v="0"/>
    <n v="3"/>
    <n v="15111"/>
    <x v="3"/>
    <x v="3"/>
    <x v="0"/>
    <x v="3"/>
    <s v="UPI"/>
    <n v="45333"/>
    <x v="17"/>
  </r>
  <r>
    <x v="68"/>
    <s v="CUST1129"/>
    <s v="21-111125"/>
    <x v="4"/>
    <x v="1"/>
    <n v="0"/>
    <n v="1211"/>
    <x v="2"/>
    <x v="0"/>
    <x v="2"/>
    <x v="2"/>
    <s v="Debit Card"/>
    <n v="0"/>
    <x v="3"/>
  </r>
  <r>
    <x v="69"/>
    <s v="CUST1119"/>
    <s v="13-141125"/>
    <x v="1"/>
    <x v="0"/>
    <n v="3"/>
    <n v="45111"/>
    <x v="2"/>
    <x v="1"/>
    <x v="0"/>
    <x v="2"/>
    <s v="Credit Card"/>
    <n v="135333"/>
    <x v="10"/>
  </r>
  <r>
    <x v="70"/>
    <s v="CUST1111"/>
    <s v="16-161125"/>
    <x v="1"/>
    <x v="0"/>
    <n v="1"/>
    <n v="52111"/>
    <x v="0"/>
    <x v="1"/>
    <x v="0"/>
    <x v="0"/>
    <s v="UPI"/>
    <n v="52111"/>
    <x v="13"/>
  </r>
  <r>
    <x v="71"/>
    <s v="CUST1128"/>
    <s v="21-151125"/>
    <x v="8"/>
    <x v="1"/>
    <n v="1"/>
    <n v="3511"/>
    <x v="0"/>
    <x v="3"/>
    <x v="1"/>
    <x v="0"/>
    <s v="UPI"/>
    <n v="3511"/>
    <x v="3"/>
  </r>
  <r>
    <x v="72"/>
    <s v="CUST1128"/>
    <s v="14-161125"/>
    <x v="0"/>
    <x v="0"/>
    <n v="3"/>
    <n v="31111"/>
    <x v="1"/>
    <x v="3"/>
    <x v="1"/>
    <x v="1"/>
    <s v="Debit Card"/>
    <n v="93333"/>
    <x v="7"/>
  </r>
  <r>
    <x v="72"/>
    <s v="CUST1151"/>
    <s v="16-121125"/>
    <x v="3"/>
    <x v="0"/>
    <n v="1"/>
    <n v="22111"/>
    <x v="8"/>
    <x v="2"/>
    <x v="0"/>
    <x v="5"/>
    <s v="Debit Card"/>
    <n v="22111"/>
    <x v="13"/>
  </r>
  <r>
    <x v="73"/>
    <s v="CUST1113"/>
    <s v="27-171125"/>
    <x v="5"/>
    <x v="2"/>
    <n v="1"/>
    <n v="999"/>
    <x v="4"/>
    <x v="0"/>
    <x v="2"/>
    <x v="4"/>
    <s v="Cash"/>
    <n v="999"/>
    <x v="17"/>
  </r>
  <r>
    <x v="74"/>
    <s v="CUST1196"/>
    <s v="18-161125"/>
    <x v="5"/>
    <x v="2"/>
    <n v="3"/>
    <n v="9111"/>
    <x v="10"/>
    <x v="0"/>
    <x v="1"/>
    <x v="1"/>
    <s v="Credit Card"/>
    <n v="27333"/>
    <x v="5"/>
  </r>
  <r>
    <x v="75"/>
    <s v="CUST1133"/>
    <s v="16-131125"/>
    <x v="8"/>
    <x v="1"/>
    <n v="1"/>
    <n v="2511"/>
    <x v="6"/>
    <x v="1"/>
    <x v="2"/>
    <x v="6"/>
    <s v="Credit Card"/>
    <n v="2511"/>
    <x v="13"/>
  </r>
  <r>
    <x v="76"/>
    <s v="CUST1157"/>
    <s v="19-131125"/>
    <x v="8"/>
    <x v="1"/>
    <n v="1"/>
    <n v="3511"/>
    <x v="0"/>
    <x v="2"/>
    <x v="1"/>
    <x v="0"/>
    <s v="UPI"/>
    <n v="3511"/>
    <x v="9"/>
  </r>
  <r>
    <x v="77"/>
    <s v="CUST1137"/>
    <s v="18-171125"/>
    <x v="2"/>
    <x v="1"/>
    <n v="3"/>
    <n v="711"/>
    <x v="0"/>
    <x v="1"/>
    <x v="2"/>
    <x v="0"/>
    <s v="Cash"/>
    <n v="2133"/>
    <x v="5"/>
  </r>
  <r>
    <x v="78"/>
    <s v="CUST1114"/>
    <s v="19-181125"/>
    <x v="7"/>
    <x v="0"/>
    <n v="4"/>
    <n v="18111"/>
    <x v="4"/>
    <x v="1"/>
    <x v="2"/>
    <x v="4"/>
    <s v="UPI"/>
    <n v="72444"/>
    <x v="9"/>
  </r>
  <r>
    <x v="79"/>
    <s v="CUST1151"/>
    <s v="25-151125"/>
    <x v="8"/>
    <x v="1"/>
    <n v="1"/>
    <n v="3511"/>
    <x v="2"/>
    <x v="3"/>
    <x v="2"/>
    <x v="2"/>
    <s v="UPI"/>
    <n v="3511"/>
    <x v="4"/>
  </r>
  <r>
    <x v="80"/>
    <s v="CUST1178"/>
    <s v="13-121125"/>
    <x v="1"/>
    <x v="0"/>
    <n v="3"/>
    <n v="45111"/>
    <x v="1"/>
    <x v="3"/>
    <x v="0"/>
    <x v="1"/>
    <s v="Debit Card"/>
    <n v="135333"/>
    <x v="10"/>
  </r>
  <r>
    <x v="0"/>
    <s v="CUST1143"/>
    <s v="26-111125"/>
    <x v="8"/>
    <x v="1"/>
    <n v="3"/>
    <n v="1811"/>
    <x v="1"/>
    <x v="4"/>
    <x v="0"/>
    <x v="1"/>
    <s v="Debit Card"/>
    <n v="5433"/>
    <x v="11"/>
  </r>
  <r>
    <x v="0"/>
    <s v="CUST1118"/>
    <s v="26-141125"/>
    <x v="7"/>
    <x v="0"/>
    <n v="3"/>
    <n v="35111"/>
    <x v="1"/>
    <x v="1"/>
    <x v="1"/>
    <x v="1"/>
    <s v="Net Banking"/>
    <n v="105333"/>
    <x v="11"/>
  </r>
  <r>
    <x v="1"/>
    <s v="CUST1153"/>
    <s v="23-111125"/>
    <x v="0"/>
    <x v="0"/>
    <n v="1"/>
    <n v="22111"/>
    <x v="4"/>
    <x v="0"/>
    <x v="1"/>
    <x v="4"/>
    <s v="UPI"/>
    <n v="22111"/>
    <x v="18"/>
  </r>
  <r>
    <x v="2"/>
    <s v="CUST1111"/>
    <s v="25-151125"/>
    <x v="2"/>
    <x v="1"/>
    <n v="4"/>
    <n v="411"/>
    <x v="2"/>
    <x v="4"/>
    <x v="2"/>
    <x v="2"/>
    <s v="Credit Card"/>
    <n v="1644"/>
    <x v="4"/>
  </r>
  <r>
    <x v="3"/>
    <s v="CUST1167"/>
    <s v="31-121125"/>
    <x v="1"/>
    <x v="0"/>
    <n v="2"/>
    <n v="25111"/>
    <x v="0"/>
    <x v="3"/>
    <x v="0"/>
    <x v="0"/>
    <s v="Net Banking"/>
    <n v="50222"/>
    <x v="15"/>
  </r>
  <r>
    <x v="4"/>
    <s v="CUST1117"/>
    <s v="11-181125"/>
    <x v="8"/>
    <x v="1"/>
    <n v="3"/>
    <n v="3511"/>
    <x v="2"/>
    <x v="4"/>
    <x v="1"/>
    <x v="2"/>
    <s v="Debit Card"/>
    <n v="10533"/>
    <x v="8"/>
  </r>
  <r>
    <x v="5"/>
    <s v="CUST1115"/>
    <s v="12-131125"/>
    <x v="4"/>
    <x v="1"/>
    <n v="4"/>
    <n v="711"/>
    <x v="3"/>
    <x v="2"/>
    <x v="2"/>
    <x v="3"/>
    <s v="Net Banking"/>
    <n v="2844"/>
    <x v="2"/>
  </r>
  <r>
    <x v="6"/>
    <s v="CUST1111"/>
    <s v="26-121125"/>
    <x v="8"/>
    <x v="1"/>
    <n v="4"/>
    <n v="1211"/>
    <x v="3"/>
    <x v="0"/>
    <x v="1"/>
    <x v="3"/>
    <s v="Cash"/>
    <n v="4844"/>
    <x v="11"/>
  </r>
  <r>
    <x v="7"/>
    <s v="CUST1138"/>
    <s v="15-131125"/>
    <x v="0"/>
    <x v="0"/>
    <n v="1"/>
    <n v="42111"/>
    <x v="9"/>
    <x v="1"/>
    <x v="2"/>
    <x v="8"/>
    <s v="Credit Card"/>
    <n v="42111"/>
    <x v="6"/>
  </r>
  <r>
    <x v="8"/>
    <s v="CUST1116"/>
    <s v="29-181125"/>
    <x v="3"/>
    <x v="0"/>
    <n v="2"/>
    <n v="9111"/>
    <x v="2"/>
    <x v="3"/>
    <x v="1"/>
    <x v="2"/>
    <s v="UPI"/>
    <n v="18222"/>
    <x v="14"/>
  </r>
  <r>
    <x v="0"/>
    <s v="CUST1146"/>
    <s v="23-111125"/>
    <x v="1"/>
    <x v="0"/>
    <n v="3"/>
    <n v="45111"/>
    <x v="4"/>
    <x v="0"/>
    <x v="2"/>
    <x v="4"/>
    <s v="Debit Card"/>
    <n v="135333"/>
    <x v="18"/>
  </r>
  <r>
    <x v="0"/>
    <s v="CUST1126"/>
    <s v="23-111125"/>
    <x v="5"/>
    <x v="2"/>
    <n v="4"/>
    <n v="4111"/>
    <x v="8"/>
    <x v="3"/>
    <x v="1"/>
    <x v="5"/>
    <s v="Credit Card"/>
    <n v="16444"/>
    <x v="18"/>
  </r>
  <r>
    <x v="1"/>
    <s v="CUST1148"/>
    <s v="15-131125"/>
    <x v="7"/>
    <x v="0"/>
    <n v="4"/>
    <n v="25111"/>
    <x v="2"/>
    <x v="2"/>
    <x v="2"/>
    <x v="2"/>
    <s v="Debit Card"/>
    <n v="100444"/>
    <x v="6"/>
  </r>
  <r>
    <x v="2"/>
    <s v="CUST1111"/>
    <s v="16-181125"/>
    <x v="5"/>
    <x v="2"/>
    <n v="4"/>
    <n v="2511"/>
    <x v="2"/>
    <x v="4"/>
    <x v="0"/>
    <x v="2"/>
    <s v="Cash"/>
    <n v="10044"/>
    <x v="13"/>
  </r>
  <r>
    <x v="3"/>
    <s v="CUST1189"/>
    <s v="27-131125"/>
    <x v="2"/>
    <x v="1"/>
    <n v="3"/>
    <n v="711"/>
    <x v="7"/>
    <x v="3"/>
    <x v="1"/>
    <x v="7"/>
    <s v="Net Banking"/>
    <n v="2133"/>
    <x v="17"/>
  </r>
  <r>
    <x v="4"/>
    <s v="CUST1119"/>
    <s v="16-111125"/>
    <x v="1"/>
    <x v="0"/>
    <n v="3"/>
    <n v="68111"/>
    <x v="7"/>
    <x v="1"/>
    <x v="0"/>
    <x v="7"/>
    <s v="Debit Card"/>
    <n v="204333"/>
    <x v="13"/>
  </r>
  <r>
    <x v="5"/>
    <s v="CUST1157"/>
    <s v="11-171125"/>
    <x v="0"/>
    <x v="0"/>
    <n v="2"/>
    <n v="31111"/>
    <x v="0"/>
    <x v="4"/>
    <x v="0"/>
    <x v="0"/>
    <s v="UPI"/>
    <n v="62222"/>
    <x v="8"/>
  </r>
  <r>
    <x v="6"/>
    <s v="CUST1116"/>
    <s v="15-111125"/>
    <x v="3"/>
    <x v="0"/>
    <n v="4"/>
    <n v="12111"/>
    <x v="3"/>
    <x v="3"/>
    <x v="2"/>
    <x v="3"/>
    <s v="Net Banking"/>
    <n v="48444"/>
    <x v="6"/>
  </r>
  <r>
    <x v="7"/>
    <s v="CUST1112"/>
    <s v="16-181125"/>
    <x v="5"/>
    <x v="2"/>
    <n v="2"/>
    <n v="4111"/>
    <x v="9"/>
    <x v="3"/>
    <x v="2"/>
    <x v="8"/>
    <s v="Debit Card"/>
    <n v="8222"/>
    <x v="13"/>
  </r>
  <r>
    <x v="8"/>
    <s v="CUST1131"/>
    <s v="13-131125"/>
    <x v="0"/>
    <x v="0"/>
    <n v="3"/>
    <n v="22111"/>
    <x v="7"/>
    <x v="1"/>
    <x v="1"/>
    <x v="7"/>
    <s v="Debit Card"/>
    <n v="66333"/>
    <x v="10"/>
  </r>
  <r>
    <x v="9"/>
    <s v="CUST1111"/>
    <s v="22-111125"/>
    <x v="3"/>
    <x v="0"/>
    <n v="4"/>
    <n v="22111"/>
    <x v="1"/>
    <x v="3"/>
    <x v="2"/>
    <x v="1"/>
    <s v="UPI"/>
    <n v="88444"/>
    <x v="12"/>
  </r>
  <r>
    <x v="9"/>
    <s v="CUST1118"/>
    <s v="15-191125"/>
    <x v="0"/>
    <x v="0"/>
    <n v="4"/>
    <n v="31111"/>
    <x v="0"/>
    <x v="4"/>
    <x v="0"/>
    <x v="0"/>
    <s v="Debit Card"/>
    <n v="124444"/>
    <x v="6"/>
  </r>
  <r>
    <x v="10"/>
    <s v="CUST1182"/>
    <s v="11-141125"/>
    <x v="2"/>
    <x v="1"/>
    <n v="2"/>
    <n v="1111"/>
    <x v="3"/>
    <x v="0"/>
    <x v="2"/>
    <x v="3"/>
    <s v="Net Banking"/>
    <n v="2222"/>
    <x v="8"/>
  </r>
  <r>
    <x v="11"/>
    <s v="CUST1116"/>
    <s v="11-121125"/>
    <x v="2"/>
    <x v="1"/>
    <n v="1"/>
    <n v="1111"/>
    <x v="3"/>
    <x v="0"/>
    <x v="2"/>
    <x v="3"/>
    <s v="Credit Card"/>
    <n v="1111"/>
    <x v="8"/>
  </r>
  <r>
    <x v="12"/>
    <s v="CUST1189"/>
    <s v="17-121125"/>
    <x v="7"/>
    <x v="0"/>
    <n v="1"/>
    <n v="25111"/>
    <x v="8"/>
    <x v="0"/>
    <x v="1"/>
    <x v="5"/>
    <s v="Credit Card"/>
    <n v="25111"/>
    <x v="0"/>
  </r>
  <r>
    <x v="13"/>
    <s v="CUST1117"/>
    <s v="24-171125"/>
    <x v="7"/>
    <x v="0"/>
    <n v="4"/>
    <n v="25111"/>
    <x v="4"/>
    <x v="5"/>
    <x v="2"/>
    <x v="4"/>
    <s v="Credit Card"/>
    <n v="100444"/>
    <x v="1"/>
  </r>
  <r>
    <x v="14"/>
    <s v="CUST1138"/>
    <s v="26-111125"/>
    <x v="0"/>
    <x v="0"/>
    <n v="3"/>
    <n v="42111"/>
    <x v="2"/>
    <x v="4"/>
    <x v="1"/>
    <x v="2"/>
    <s v="Unknown"/>
    <n v="126333"/>
    <x v="11"/>
  </r>
  <r>
    <x v="15"/>
    <s v="CUST1113"/>
    <s v="12-191125"/>
    <x v="4"/>
    <x v="1"/>
    <n v="2"/>
    <n v="711"/>
    <x v="0"/>
    <x v="2"/>
    <x v="2"/>
    <x v="0"/>
    <s v="Net Banking"/>
    <n v="1422"/>
    <x v="2"/>
  </r>
  <r>
    <x v="16"/>
    <s v="CUST1112"/>
    <s v="12-111125"/>
    <x v="5"/>
    <x v="2"/>
    <n v="2"/>
    <n v="6511"/>
    <x v="0"/>
    <x v="2"/>
    <x v="0"/>
    <x v="0"/>
    <s v="Cash"/>
    <n v="13022"/>
    <x v="2"/>
  </r>
  <r>
    <x v="17"/>
    <s v="CUST1151"/>
    <s v="17-121125"/>
    <x v="2"/>
    <x v="1"/>
    <n v="3"/>
    <n v="411"/>
    <x v="7"/>
    <x v="4"/>
    <x v="1"/>
    <x v="7"/>
    <s v="Cash"/>
    <n v="1233"/>
    <x v="0"/>
  </r>
  <r>
    <x v="18"/>
    <s v="CUST1166"/>
    <s v="15-111125"/>
    <x v="0"/>
    <x v="0"/>
    <n v="2"/>
    <n v="42111"/>
    <x v="2"/>
    <x v="4"/>
    <x v="0"/>
    <x v="2"/>
    <s v="Net Banking"/>
    <n v="84222"/>
    <x v="6"/>
  </r>
  <r>
    <x v="18"/>
    <s v="CUST1141"/>
    <s v="11-111125"/>
    <x v="1"/>
    <x v="0"/>
    <n v="1"/>
    <n v="52111"/>
    <x v="1"/>
    <x v="2"/>
    <x v="2"/>
    <x v="1"/>
    <s v="Net Banking"/>
    <n v="52111"/>
    <x v="8"/>
  </r>
  <r>
    <x v="19"/>
    <s v="CUST1141"/>
    <s v="26-111125"/>
    <x v="2"/>
    <x v="1"/>
    <n v="3"/>
    <n v="711"/>
    <x v="8"/>
    <x v="4"/>
    <x v="1"/>
    <x v="5"/>
    <s v="Cash"/>
    <n v="2133"/>
    <x v="11"/>
  </r>
  <r>
    <x v="20"/>
    <s v="CUST1174"/>
    <s v="17-111125"/>
    <x v="2"/>
    <x v="1"/>
    <n v="2"/>
    <n v="1111"/>
    <x v="5"/>
    <x v="0"/>
    <x v="0"/>
    <x v="5"/>
    <s v="Net Banking"/>
    <n v="2222"/>
    <x v="0"/>
  </r>
  <r>
    <x v="21"/>
    <s v="CUST1118"/>
    <s v="28-121125"/>
    <x v="5"/>
    <x v="2"/>
    <n v="3"/>
    <n v="2511"/>
    <x v="6"/>
    <x v="4"/>
    <x v="1"/>
    <x v="6"/>
    <s v="Credit Card"/>
    <n v="7533"/>
    <x v="16"/>
  </r>
  <r>
    <x v="22"/>
    <s v="CUST1132"/>
    <s v="19-141125"/>
    <x v="5"/>
    <x v="2"/>
    <n v="4"/>
    <n v="9111"/>
    <x v="3"/>
    <x v="4"/>
    <x v="1"/>
    <x v="3"/>
    <s v="Net Banking"/>
    <n v="36444"/>
    <x v="9"/>
  </r>
  <r>
    <x v="23"/>
    <s v="CUST1174"/>
    <s v="14-131125"/>
    <x v="4"/>
    <x v="1"/>
    <n v="3"/>
    <n v="1211"/>
    <x v="2"/>
    <x v="0"/>
    <x v="1"/>
    <x v="2"/>
    <s v="Net Banking"/>
    <n v="3633"/>
    <x v="7"/>
  </r>
  <r>
    <x v="24"/>
    <s v="CUST1169"/>
    <s v="14-141125"/>
    <x v="8"/>
    <x v="1"/>
    <n v="3"/>
    <n v="1211"/>
    <x v="3"/>
    <x v="4"/>
    <x v="2"/>
    <x v="3"/>
    <s v="Credit Card"/>
    <n v="3633"/>
    <x v="7"/>
  </r>
  <r>
    <x v="25"/>
    <s v="CUST1153"/>
    <s v="21-121125"/>
    <x v="2"/>
    <x v="1"/>
    <n v="2"/>
    <n v="1111"/>
    <x v="4"/>
    <x v="2"/>
    <x v="0"/>
    <x v="4"/>
    <s v="Net Banking"/>
    <n v="2222"/>
    <x v="3"/>
  </r>
  <r>
    <x v="26"/>
    <s v="CUST1183"/>
    <s v="27-151125"/>
    <x v="8"/>
    <x v="1"/>
    <n v="1"/>
    <n v="3511"/>
    <x v="8"/>
    <x v="1"/>
    <x v="2"/>
    <x v="5"/>
    <s v="Cash"/>
    <n v="3511"/>
    <x v="17"/>
  </r>
  <r>
    <x v="27"/>
    <s v="CUST1112"/>
    <s v="21-111125"/>
    <x v="4"/>
    <x v="1"/>
    <n v="1"/>
    <n v="711"/>
    <x v="3"/>
    <x v="4"/>
    <x v="2"/>
    <x v="3"/>
    <s v="UPI"/>
    <n v="711"/>
    <x v="3"/>
  </r>
  <r>
    <x v="27"/>
    <s v="CUST1143"/>
    <s v="27-121125"/>
    <x v="0"/>
    <x v="0"/>
    <n v="3"/>
    <n v="42111"/>
    <x v="1"/>
    <x v="2"/>
    <x v="2"/>
    <x v="1"/>
    <s v="Net Banking"/>
    <n v="126333"/>
    <x v="17"/>
  </r>
  <r>
    <x v="28"/>
    <s v="CUST1166"/>
    <s v="17-181125"/>
    <x v="2"/>
    <x v="1"/>
    <n v="2"/>
    <n v="1111"/>
    <x v="4"/>
    <x v="1"/>
    <x v="1"/>
    <x v="4"/>
    <s v="Cash"/>
    <n v="2222"/>
    <x v="0"/>
  </r>
  <r>
    <x v="29"/>
    <s v="CUST1197"/>
    <s v="17-181125"/>
    <x v="0"/>
    <x v="0"/>
    <n v="2"/>
    <n v="42111"/>
    <x v="3"/>
    <x v="3"/>
    <x v="1"/>
    <x v="3"/>
    <s v="UPI"/>
    <n v="84222"/>
    <x v="0"/>
  </r>
  <r>
    <x v="30"/>
    <s v="CUST1188"/>
    <s v="27-171125"/>
    <x v="1"/>
    <x v="0"/>
    <n v="3"/>
    <n v="61111"/>
    <x v="3"/>
    <x v="1"/>
    <x v="2"/>
    <x v="3"/>
    <s v="Debit Card"/>
    <n v="183333"/>
    <x v="17"/>
  </r>
  <r>
    <x v="31"/>
    <s v="CUST1171"/>
    <s v="26-121125"/>
    <x v="2"/>
    <x v="1"/>
    <n v="3"/>
    <n v="411"/>
    <x v="7"/>
    <x v="4"/>
    <x v="2"/>
    <x v="7"/>
    <s v="UPI"/>
    <n v="1233"/>
    <x v="11"/>
  </r>
  <r>
    <x v="32"/>
    <s v="CUST1169"/>
    <s v="21-111125"/>
    <x v="4"/>
    <x v="1"/>
    <n v="2"/>
    <n v="711"/>
    <x v="10"/>
    <x v="0"/>
    <x v="1"/>
    <x v="1"/>
    <s v="Net Banking"/>
    <n v="1422"/>
    <x v="3"/>
  </r>
  <r>
    <x v="33"/>
    <s v="CUST1154"/>
    <s v="21-191125"/>
    <x v="5"/>
    <x v="2"/>
    <n v="1"/>
    <n v="4111"/>
    <x v="7"/>
    <x v="4"/>
    <x v="0"/>
    <x v="7"/>
    <s v="Credit Card"/>
    <n v="4111"/>
    <x v="3"/>
  </r>
  <r>
    <x v="34"/>
    <s v="CUST1145"/>
    <s v="15-181125"/>
    <x v="5"/>
    <x v="2"/>
    <n v="3"/>
    <n v="2511"/>
    <x v="0"/>
    <x v="4"/>
    <x v="0"/>
    <x v="0"/>
    <s v="Net Banking"/>
    <n v="7533"/>
    <x v="6"/>
  </r>
  <r>
    <x v="35"/>
    <s v="CUST1149"/>
    <s v="18-181125"/>
    <x v="0"/>
    <x v="0"/>
    <n v="4"/>
    <n v="31111"/>
    <x v="2"/>
    <x v="1"/>
    <x v="2"/>
    <x v="2"/>
    <s v="Net Banking"/>
    <n v="124444"/>
    <x v="5"/>
  </r>
  <r>
    <x v="36"/>
    <s v="CUST1161"/>
    <s v="12-161125"/>
    <x v="8"/>
    <x v="1"/>
    <n v="3"/>
    <n v="3511"/>
    <x v="2"/>
    <x v="4"/>
    <x v="1"/>
    <x v="2"/>
    <s v="UPI"/>
    <n v="10533"/>
    <x v="2"/>
  </r>
  <r>
    <x v="36"/>
    <s v="CUST1199"/>
    <s v="11-111125"/>
    <x v="4"/>
    <x v="1"/>
    <n v="2"/>
    <n v="1211"/>
    <x v="8"/>
    <x v="0"/>
    <x v="0"/>
    <x v="5"/>
    <s v="Net Banking"/>
    <n v="2422"/>
    <x v="8"/>
  </r>
  <r>
    <x v="37"/>
    <s v="CUST1171"/>
    <s v="31-141125"/>
    <x v="0"/>
    <x v="0"/>
    <n v="1"/>
    <n v="42111"/>
    <x v="6"/>
    <x v="1"/>
    <x v="0"/>
    <x v="6"/>
    <s v="Credit Card"/>
    <n v="42111"/>
    <x v="15"/>
  </r>
  <r>
    <x v="38"/>
    <s v="CUST1118"/>
    <s v="21-151125"/>
    <x v="2"/>
    <x v="1"/>
    <n v="2"/>
    <n v="411"/>
    <x v="1"/>
    <x v="2"/>
    <x v="2"/>
    <x v="1"/>
    <s v="UPI"/>
    <n v="822"/>
    <x v="3"/>
  </r>
  <r>
    <x v="39"/>
    <s v="CUST1124"/>
    <s v="12-171125"/>
    <x v="5"/>
    <x v="2"/>
    <n v="1"/>
    <n v="6511"/>
    <x v="7"/>
    <x v="0"/>
    <x v="0"/>
    <x v="7"/>
    <s v="Cash"/>
    <n v="6511"/>
    <x v="2"/>
  </r>
  <r>
    <x v="40"/>
    <s v="CUST1127"/>
    <s v="11-151125"/>
    <x v="2"/>
    <x v="1"/>
    <n v="2"/>
    <n v="1111"/>
    <x v="4"/>
    <x v="1"/>
    <x v="1"/>
    <x v="4"/>
    <s v="Credit Card"/>
    <n v="2222"/>
    <x v="8"/>
  </r>
  <r>
    <x v="41"/>
    <s v="CUST1193"/>
    <s v="28-111125"/>
    <x v="3"/>
    <x v="0"/>
    <n v="1"/>
    <n v="9111"/>
    <x v="6"/>
    <x v="2"/>
    <x v="0"/>
    <x v="6"/>
    <s v="UPI"/>
    <n v="9111"/>
    <x v="16"/>
  </r>
  <r>
    <x v="42"/>
    <s v="CUST1131"/>
    <s v="23-171125"/>
    <x v="3"/>
    <x v="0"/>
    <n v="3"/>
    <n v="22111"/>
    <x v="4"/>
    <x v="3"/>
    <x v="1"/>
    <x v="4"/>
    <s v="Cash"/>
    <n v="66333"/>
    <x v="18"/>
  </r>
  <r>
    <x v="43"/>
    <s v="CUST1127"/>
    <s v="13-161125"/>
    <x v="5"/>
    <x v="2"/>
    <n v="3"/>
    <n v="9111"/>
    <x v="4"/>
    <x v="3"/>
    <x v="1"/>
    <x v="4"/>
    <s v="Debit Card"/>
    <n v="27333"/>
    <x v="10"/>
  </r>
  <r>
    <x v="44"/>
    <s v="CUST1143"/>
    <s v="11-141125"/>
    <x v="1"/>
    <x v="0"/>
    <n v="2"/>
    <n v="52111"/>
    <x v="6"/>
    <x v="2"/>
    <x v="2"/>
    <x v="6"/>
    <s v="Debit Card"/>
    <n v="104222"/>
    <x v="8"/>
  </r>
  <r>
    <x v="45"/>
    <s v="CUST1122"/>
    <s v="31-161125"/>
    <x v="4"/>
    <x v="1"/>
    <n v="4"/>
    <n v="1811"/>
    <x v="1"/>
    <x v="4"/>
    <x v="1"/>
    <x v="1"/>
    <s v="Cash"/>
    <n v="7244"/>
    <x v="15"/>
  </r>
  <r>
    <x v="45"/>
    <s v="CUST1121"/>
    <s v="29-121125"/>
    <x v="8"/>
    <x v="1"/>
    <n v="1"/>
    <n v="1211"/>
    <x v="8"/>
    <x v="0"/>
    <x v="2"/>
    <x v="5"/>
    <s v="Net Banking"/>
    <n v="1211"/>
    <x v="14"/>
  </r>
  <r>
    <x v="46"/>
    <s v="CUST1193"/>
    <s v="29-191125"/>
    <x v="5"/>
    <x v="2"/>
    <n v="3"/>
    <n v="2511"/>
    <x v="3"/>
    <x v="4"/>
    <x v="1"/>
    <x v="3"/>
    <s v="Credit Card"/>
    <n v="7533"/>
    <x v="14"/>
  </r>
  <r>
    <x v="47"/>
    <s v="CUST1135"/>
    <s v="11-171125"/>
    <x v="1"/>
    <x v="0"/>
    <n v="4"/>
    <n v="52111"/>
    <x v="2"/>
    <x v="1"/>
    <x v="1"/>
    <x v="2"/>
    <s v="Net Banking"/>
    <n v="208444"/>
    <x v="8"/>
  </r>
  <r>
    <x v="48"/>
    <s v="CUST1149"/>
    <s v="14-171125"/>
    <x v="7"/>
    <x v="0"/>
    <n v="4"/>
    <n v="12111"/>
    <x v="7"/>
    <x v="1"/>
    <x v="2"/>
    <x v="7"/>
    <s v="UPI"/>
    <n v="48444"/>
    <x v="7"/>
  </r>
  <r>
    <x v="49"/>
    <s v="CUST1189"/>
    <s v="19-141125"/>
    <x v="1"/>
    <x v="0"/>
    <n v="2"/>
    <n v="45111"/>
    <x v="7"/>
    <x v="3"/>
    <x v="0"/>
    <x v="7"/>
    <s v="UPI"/>
    <n v="90222"/>
    <x v="9"/>
  </r>
  <r>
    <x v="50"/>
    <s v="CUST1121"/>
    <s v="13-161125"/>
    <x v="0"/>
    <x v="0"/>
    <n v="3"/>
    <n v="22111"/>
    <x v="6"/>
    <x v="4"/>
    <x v="1"/>
    <x v="6"/>
    <s v="Debit Card"/>
    <n v="66333"/>
    <x v="10"/>
  </r>
  <r>
    <x v="51"/>
    <s v="CUST1178"/>
    <s v="24-161125"/>
    <x v="3"/>
    <x v="0"/>
    <n v="4"/>
    <n v="22111"/>
    <x v="2"/>
    <x v="3"/>
    <x v="0"/>
    <x v="2"/>
    <s v="Net Banking"/>
    <n v="88444"/>
    <x v="1"/>
  </r>
  <r>
    <x v="52"/>
    <s v="CUST1199"/>
    <s v="13-121125"/>
    <x v="2"/>
    <x v="1"/>
    <n v="4"/>
    <n v="711"/>
    <x v="3"/>
    <x v="0"/>
    <x v="2"/>
    <x v="3"/>
    <s v="Debit Card"/>
    <n v="2844"/>
    <x v="10"/>
  </r>
  <r>
    <x v="53"/>
    <s v="CUST1114"/>
    <s v="14-171125"/>
    <x v="0"/>
    <x v="0"/>
    <n v="1"/>
    <n v="22111"/>
    <x v="0"/>
    <x v="1"/>
    <x v="1"/>
    <x v="0"/>
    <s v="Credit Card"/>
    <n v="22111"/>
    <x v="7"/>
  </r>
  <r>
    <x v="54"/>
    <s v="CUST1114"/>
    <s v="22-121125"/>
    <x v="5"/>
    <x v="2"/>
    <n v="3"/>
    <n v="9111"/>
    <x v="9"/>
    <x v="3"/>
    <x v="2"/>
    <x v="8"/>
    <s v="UPI"/>
    <n v="27333"/>
    <x v="12"/>
  </r>
  <r>
    <x v="54"/>
    <s v="CUST1149"/>
    <s v="17-121125"/>
    <x v="0"/>
    <x v="0"/>
    <n v="3"/>
    <n v="15111"/>
    <x v="1"/>
    <x v="0"/>
    <x v="1"/>
    <x v="1"/>
    <s v="Debit Card"/>
    <n v="45333"/>
    <x v="0"/>
  </r>
  <r>
    <x v="55"/>
    <s v="CUST1111"/>
    <s v="15-191125"/>
    <x v="2"/>
    <x v="1"/>
    <n v="3"/>
    <n v="711"/>
    <x v="4"/>
    <x v="3"/>
    <x v="0"/>
    <x v="4"/>
    <s v="Credit Card"/>
    <n v="2133"/>
    <x v="6"/>
  </r>
  <r>
    <x v="56"/>
    <s v="CUST1157"/>
    <s v="18-161125"/>
    <x v="5"/>
    <x v="2"/>
    <n v="2"/>
    <n v="9111"/>
    <x v="4"/>
    <x v="2"/>
    <x v="2"/>
    <x v="4"/>
    <s v="Debit Card"/>
    <n v="18222"/>
    <x v="5"/>
  </r>
  <r>
    <x v="57"/>
    <s v="CUST1182"/>
    <s v="22-121125"/>
    <x v="8"/>
    <x v="1"/>
    <n v="3"/>
    <n v="3511"/>
    <x v="7"/>
    <x v="4"/>
    <x v="0"/>
    <x v="7"/>
    <s v="Cash"/>
    <n v="10533"/>
    <x v="12"/>
  </r>
  <r>
    <x v="58"/>
    <s v="CUST1191"/>
    <s v="25-181125"/>
    <x v="3"/>
    <x v="0"/>
    <n v="4"/>
    <n v="12111"/>
    <x v="6"/>
    <x v="2"/>
    <x v="1"/>
    <x v="6"/>
    <s v="Net Banking"/>
    <n v="48444"/>
    <x v="4"/>
  </r>
  <r>
    <x v="59"/>
    <s v="CUST1158"/>
    <s v="17-121125"/>
    <x v="0"/>
    <x v="0"/>
    <n v="4"/>
    <n v="22111"/>
    <x v="7"/>
    <x v="6"/>
    <x v="1"/>
    <x v="7"/>
    <s v="Cash"/>
    <n v="88444"/>
    <x v="0"/>
  </r>
  <r>
    <x v="60"/>
    <s v="CUST1183"/>
    <s v="16-111125"/>
    <x v="7"/>
    <x v="0"/>
    <n v="1"/>
    <n v="18111"/>
    <x v="2"/>
    <x v="3"/>
    <x v="1"/>
    <x v="2"/>
    <s v="UPI"/>
    <n v="18111"/>
    <x v="13"/>
  </r>
  <r>
    <x v="61"/>
    <s v="CUST1161"/>
    <s v="21-171125"/>
    <x v="0"/>
    <x v="0"/>
    <n v="1"/>
    <n v="31111"/>
    <x v="1"/>
    <x v="3"/>
    <x v="0"/>
    <x v="1"/>
    <s v="Debit Card"/>
    <n v="31111"/>
    <x v="3"/>
  </r>
  <r>
    <x v="62"/>
    <s v="CUST1159"/>
    <s v="25-161125"/>
    <x v="5"/>
    <x v="2"/>
    <n v="1"/>
    <n v="6511"/>
    <x v="6"/>
    <x v="4"/>
    <x v="1"/>
    <x v="6"/>
    <s v="Debit Card"/>
    <n v="6511"/>
    <x v="4"/>
  </r>
  <r>
    <x v="63"/>
    <s v="CUST1144"/>
    <s v="12-111125"/>
    <x v="3"/>
    <x v="0"/>
    <n v="4"/>
    <n v="16111"/>
    <x v="0"/>
    <x v="0"/>
    <x v="2"/>
    <x v="0"/>
    <s v="Net Banking"/>
    <n v="64444"/>
    <x v="2"/>
  </r>
  <r>
    <x v="63"/>
    <s v="CUST1185"/>
    <s v="24-111125"/>
    <x v="4"/>
    <x v="1"/>
    <n v="2"/>
    <n v="1211"/>
    <x v="2"/>
    <x v="2"/>
    <x v="0"/>
    <x v="2"/>
    <s v="Credit Card"/>
    <n v="2422"/>
    <x v="1"/>
  </r>
  <r>
    <x v="64"/>
    <s v="CUST1114"/>
    <s v="23-111125"/>
    <x v="4"/>
    <x v="1"/>
    <n v="4"/>
    <n v="1811"/>
    <x v="1"/>
    <x v="3"/>
    <x v="1"/>
    <x v="1"/>
    <s v="Cash"/>
    <n v="7244"/>
    <x v="18"/>
  </r>
  <r>
    <x v="65"/>
    <s v="CUST1115"/>
    <s v="28-111125"/>
    <x v="4"/>
    <x v="1"/>
    <n v="4"/>
    <n v="1811"/>
    <x v="4"/>
    <x v="3"/>
    <x v="1"/>
    <x v="4"/>
    <s v="Debit Card"/>
    <n v="7244"/>
    <x v="16"/>
  </r>
  <r>
    <x v="66"/>
    <s v="CUST1189"/>
    <s v="11-171125"/>
    <x v="8"/>
    <x v="1"/>
    <n v="3"/>
    <n v="2511"/>
    <x v="1"/>
    <x v="4"/>
    <x v="1"/>
    <x v="1"/>
    <s v="Debit Card"/>
    <n v="7533"/>
    <x v="8"/>
  </r>
  <r>
    <x v="67"/>
    <s v="CUST1118"/>
    <s v="28-151125"/>
    <x v="7"/>
    <x v="0"/>
    <n v="2"/>
    <n v="18111"/>
    <x v="1"/>
    <x v="3"/>
    <x v="1"/>
    <x v="1"/>
    <s v="Net Banking"/>
    <n v="36222"/>
    <x v="16"/>
  </r>
  <r>
    <x v="68"/>
    <s v="CUST1191"/>
    <s v="11-181125"/>
    <x v="1"/>
    <x v="0"/>
    <n v="3"/>
    <n v="45111"/>
    <x v="7"/>
    <x v="2"/>
    <x v="0"/>
    <x v="7"/>
    <s v="Debit Card"/>
    <n v="135333"/>
    <x v="8"/>
  </r>
  <r>
    <x v="69"/>
    <s v="CUST1196"/>
    <s v="17-111125"/>
    <x v="0"/>
    <x v="0"/>
    <n v="1"/>
    <n v="31111"/>
    <x v="7"/>
    <x v="4"/>
    <x v="2"/>
    <x v="7"/>
    <s v="Cash"/>
    <n v="31111"/>
    <x v="0"/>
  </r>
  <r>
    <x v="70"/>
    <s v="CUST1197"/>
    <s v="11-121125"/>
    <x v="0"/>
    <x v="0"/>
    <n v="1"/>
    <n v="31111"/>
    <x v="6"/>
    <x v="3"/>
    <x v="0"/>
    <x v="6"/>
    <s v="Net Banking"/>
    <n v="31111"/>
    <x v="8"/>
  </r>
  <r>
    <x v="71"/>
    <s v="CUST1179"/>
    <s v="26-131125"/>
    <x v="5"/>
    <x v="2"/>
    <n v="3"/>
    <n v="9111"/>
    <x v="1"/>
    <x v="0"/>
    <x v="0"/>
    <x v="1"/>
    <s v="Debit Card"/>
    <n v="27333"/>
    <x v="11"/>
  </r>
  <r>
    <x v="72"/>
    <s v="CUST1197"/>
    <s v="11-131125"/>
    <x v="1"/>
    <x v="0"/>
    <n v="3"/>
    <n v="61111"/>
    <x v="2"/>
    <x v="1"/>
    <x v="1"/>
    <x v="2"/>
    <s v="Credit Card"/>
    <n v="183333"/>
    <x v="8"/>
  </r>
  <r>
    <x v="72"/>
    <s v="CUST1181"/>
    <s v="23-111125"/>
    <x v="8"/>
    <x v="1"/>
    <n v="2"/>
    <n v="2511"/>
    <x v="3"/>
    <x v="2"/>
    <x v="1"/>
    <x v="3"/>
    <s v="UPI"/>
    <n v="5022"/>
    <x v="18"/>
  </r>
  <r>
    <x v="73"/>
    <s v="CUST1111"/>
    <s v="25-111125"/>
    <x v="5"/>
    <x v="2"/>
    <n v="1"/>
    <n v="6511"/>
    <x v="0"/>
    <x v="2"/>
    <x v="2"/>
    <x v="0"/>
    <s v="Cash"/>
    <n v="6511"/>
    <x v="4"/>
  </r>
  <r>
    <x v="74"/>
    <s v="CUST1171"/>
    <s v="22-161125"/>
    <x v="3"/>
    <x v="0"/>
    <n v="1"/>
    <n v="16111"/>
    <x v="1"/>
    <x v="4"/>
    <x v="1"/>
    <x v="1"/>
    <s v="Cash"/>
    <n v="16111"/>
    <x v="12"/>
  </r>
  <r>
    <x v="75"/>
    <s v="CUST1155"/>
    <s v="11-111125"/>
    <x v="3"/>
    <x v="0"/>
    <n v="1"/>
    <n v="12111"/>
    <x v="6"/>
    <x v="0"/>
    <x v="2"/>
    <x v="6"/>
    <s v="Net Banking"/>
    <n v="12111"/>
    <x v="8"/>
  </r>
  <r>
    <x v="76"/>
    <s v="CUST1181"/>
    <s v="22-171125"/>
    <x v="2"/>
    <x v="1"/>
    <n v="2"/>
    <n v="411"/>
    <x v="3"/>
    <x v="0"/>
    <x v="1"/>
    <x v="3"/>
    <s v="Credit Card"/>
    <n v="822"/>
    <x v="12"/>
  </r>
  <r>
    <x v="77"/>
    <s v="CUST1191"/>
    <s v="15-111125"/>
    <x v="0"/>
    <x v="0"/>
    <n v="1"/>
    <n v="22111"/>
    <x v="4"/>
    <x v="1"/>
    <x v="1"/>
    <x v="4"/>
    <s v="Credit Card"/>
    <n v="22111"/>
    <x v="6"/>
  </r>
  <r>
    <x v="78"/>
    <s v="CUST1139"/>
    <s v="18-171125"/>
    <x v="8"/>
    <x v="1"/>
    <n v="4"/>
    <n v="3511"/>
    <x v="1"/>
    <x v="2"/>
    <x v="0"/>
    <x v="1"/>
    <s v="UPI"/>
    <n v="14044"/>
    <x v="5"/>
  </r>
  <r>
    <x v="79"/>
    <s v="CUST1188"/>
    <s v="12-111125"/>
    <x v="8"/>
    <x v="1"/>
    <n v="1"/>
    <n v="3511"/>
    <x v="7"/>
    <x v="0"/>
    <x v="0"/>
    <x v="7"/>
    <s v="Cash"/>
    <n v="3511"/>
    <x v="2"/>
  </r>
  <r>
    <x v="80"/>
    <s v="CUST1111"/>
    <s v="27-111125"/>
    <x v="0"/>
    <x v="0"/>
    <n v="2"/>
    <n v="42111"/>
    <x v="6"/>
    <x v="4"/>
    <x v="2"/>
    <x v="6"/>
    <s v="Credit Card"/>
    <n v="84222"/>
    <x v="17"/>
  </r>
  <r>
    <x v="81"/>
    <s v="CUST1151"/>
    <s v="11-191125"/>
    <x v="2"/>
    <x v="1"/>
    <n v="1"/>
    <n v="711"/>
    <x v="0"/>
    <x v="0"/>
    <x v="1"/>
    <x v="0"/>
    <s v="Net Banking"/>
    <n v="711"/>
    <x v="8"/>
  </r>
  <r>
    <x v="81"/>
    <s v="CUST1199"/>
    <s v="31-181125"/>
    <x v="0"/>
    <x v="0"/>
    <n v="1"/>
    <n v="31111"/>
    <x v="0"/>
    <x v="1"/>
    <x v="2"/>
    <x v="0"/>
    <s v="Credit Card"/>
    <n v="31111"/>
    <x v="15"/>
  </r>
  <r>
    <x v="82"/>
    <s v="CUST1152"/>
    <s v="26-121125"/>
    <x v="0"/>
    <x v="0"/>
    <n v="1"/>
    <n v="22111"/>
    <x v="0"/>
    <x v="4"/>
    <x v="2"/>
    <x v="0"/>
    <s v="UPI"/>
    <n v="22111"/>
    <x v="11"/>
  </r>
  <r>
    <x v="83"/>
    <s v="CUST1182"/>
    <s v="28-111125"/>
    <x v="8"/>
    <x v="1"/>
    <n v="3"/>
    <n v="1211"/>
    <x v="0"/>
    <x v="3"/>
    <x v="2"/>
    <x v="0"/>
    <s v="Net Banking"/>
    <n v="3633"/>
    <x v="16"/>
  </r>
  <r>
    <x v="84"/>
    <s v="CUST1195"/>
    <s v="18-121125"/>
    <x v="7"/>
    <x v="0"/>
    <n v="2"/>
    <n v="12111"/>
    <x v="1"/>
    <x v="1"/>
    <x v="0"/>
    <x v="1"/>
    <s v="Debit Card"/>
    <n v="24222"/>
    <x v="5"/>
  </r>
  <r>
    <x v="85"/>
    <s v="CUST1196"/>
    <s v="16-131125"/>
    <x v="8"/>
    <x v="1"/>
    <n v="1"/>
    <n v="2511"/>
    <x v="3"/>
    <x v="1"/>
    <x v="0"/>
    <x v="3"/>
    <s v="UPI"/>
    <n v="2511"/>
    <x v="13"/>
  </r>
  <r>
    <x v="86"/>
    <s v="CUST1147"/>
    <s v="19-191125"/>
    <x v="3"/>
    <x v="0"/>
    <n v="4"/>
    <n v="9111"/>
    <x v="8"/>
    <x v="2"/>
    <x v="2"/>
    <x v="5"/>
    <s v="UPI"/>
    <n v="36444"/>
    <x v="9"/>
  </r>
  <r>
    <x v="87"/>
    <s v="CUST1112"/>
    <s v="23-111125"/>
    <x v="8"/>
    <x v="1"/>
    <n v="3"/>
    <n v="1211"/>
    <x v="6"/>
    <x v="1"/>
    <x v="1"/>
    <x v="6"/>
    <s v="Cash"/>
    <n v="3633"/>
    <x v="18"/>
  </r>
  <r>
    <x v="88"/>
    <s v="CUST1154"/>
    <s v="18-151125"/>
    <x v="3"/>
    <x v="0"/>
    <n v="4"/>
    <n v="22111"/>
    <x v="10"/>
    <x v="3"/>
    <x v="0"/>
    <x v="1"/>
    <s v="UPI"/>
    <n v="88444"/>
    <x v="5"/>
  </r>
  <r>
    <x v="89"/>
    <s v="CUST1111"/>
    <s v="25-151125"/>
    <x v="3"/>
    <x v="0"/>
    <n v="1"/>
    <n v="22111"/>
    <x v="3"/>
    <x v="3"/>
    <x v="0"/>
    <x v="3"/>
    <s v="Debit Card"/>
    <n v="22111"/>
    <x v="4"/>
  </r>
  <r>
    <x v="81"/>
    <s v="CUST1164"/>
    <s v="31-111125"/>
    <x v="5"/>
    <x v="2"/>
    <n v="1"/>
    <n v="6511"/>
    <x v="6"/>
    <x v="4"/>
    <x v="0"/>
    <x v="6"/>
    <s v="Debit Card"/>
    <n v="6511"/>
    <x v="15"/>
  </r>
  <r>
    <x v="81"/>
    <s v="CUST1149"/>
    <s v="13-121125"/>
    <x v="8"/>
    <x v="1"/>
    <n v="1"/>
    <n v="1811"/>
    <x v="3"/>
    <x v="5"/>
    <x v="0"/>
    <x v="3"/>
    <s v="Net Banking"/>
    <n v="1811"/>
    <x v="10"/>
  </r>
  <r>
    <x v="82"/>
    <s v="CUST1153"/>
    <s v="24-191125"/>
    <x v="4"/>
    <x v="1"/>
    <n v="4"/>
    <n v="1811"/>
    <x v="4"/>
    <x v="2"/>
    <x v="2"/>
    <x v="4"/>
    <s v="Unknown"/>
    <n v="7244"/>
    <x v="1"/>
  </r>
  <r>
    <x v="83"/>
    <s v="CUST1138"/>
    <s v="12-151125"/>
    <x v="0"/>
    <x v="0"/>
    <n v="1"/>
    <n v="42111"/>
    <x v="9"/>
    <x v="3"/>
    <x v="1"/>
    <x v="8"/>
    <s v="Cash"/>
    <n v="42111"/>
    <x v="2"/>
  </r>
  <r>
    <x v="84"/>
    <s v="CUST1122"/>
    <s v="24-121125"/>
    <x v="3"/>
    <x v="0"/>
    <n v="3"/>
    <n v="12111"/>
    <x v="7"/>
    <x v="2"/>
    <x v="1"/>
    <x v="7"/>
    <s v="Debit Card"/>
    <n v="36333"/>
    <x v="1"/>
  </r>
  <r>
    <x v="85"/>
    <s v="CUST1188"/>
    <s v="22-131125"/>
    <x v="7"/>
    <x v="0"/>
    <n v="1"/>
    <n v="12111"/>
    <x v="3"/>
    <x v="4"/>
    <x v="0"/>
    <x v="3"/>
    <s v="Cash"/>
    <n v="12111"/>
    <x v="12"/>
  </r>
  <r>
    <x v="86"/>
    <s v="CUST1114"/>
    <s v="31-131125"/>
    <x v="4"/>
    <x v="1"/>
    <n v="3"/>
    <n v="1211"/>
    <x v="2"/>
    <x v="2"/>
    <x v="2"/>
    <x v="2"/>
    <s v="Net Banking"/>
    <n v="3633"/>
    <x v="15"/>
  </r>
  <r>
    <x v="87"/>
    <s v="CUST1152"/>
    <s v="12-141125"/>
    <x v="4"/>
    <x v="1"/>
    <n v="1"/>
    <n v="711"/>
    <x v="4"/>
    <x v="1"/>
    <x v="2"/>
    <x v="4"/>
    <s v="Cash"/>
    <n v="711"/>
    <x v="2"/>
  </r>
  <r>
    <x v="88"/>
    <s v="CUST1116"/>
    <s v="14-131125"/>
    <x v="2"/>
    <x v="1"/>
    <n v="1"/>
    <n v="711"/>
    <x v="7"/>
    <x v="1"/>
    <x v="0"/>
    <x v="7"/>
    <s v="UPI"/>
    <n v="711"/>
    <x v="7"/>
  </r>
  <r>
    <x v="89"/>
    <s v="CUST1136"/>
    <s v="16-141125"/>
    <x v="7"/>
    <x v="0"/>
    <n v="4"/>
    <n v="25111"/>
    <x v="3"/>
    <x v="2"/>
    <x v="0"/>
    <x v="3"/>
    <s v="UPI"/>
    <n v="100444"/>
    <x v="13"/>
  </r>
  <r>
    <x v="90"/>
    <s v="CUST1118"/>
    <s v="16-171125"/>
    <x v="1"/>
    <x v="0"/>
    <n v="2"/>
    <n v="61111"/>
    <x v="2"/>
    <x v="0"/>
    <x v="2"/>
    <x v="2"/>
    <s v="Cash"/>
    <n v="122222"/>
    <x v="13"/>
  </r>
  <r>
    <x v="90"/>
    <s v="CUST1124"/>
    <s v="19-151125"/>
    <x v="4"/>
    <x v="1"/>
    <s v="1"/>
    <n v="1811"/>
    <x v="8"/>
    <x v="3"/>
    <x v="2"/>
    <x v="5"/>
    <s v="Credit Card"/>
    <n v="1811"/>
    <x v="9"/>
  </r>
  <r>
    <x v="91"/>
    <s v="CUST1185"/>
    <s v="17-151125"/>
    <x v="4"/>
    <x v="1"/>
    <n v="1"/>
    <n v="1811"/>
    <x v="6"/>
    <x v="3"/>
    <x v="2"/>
    <x v="6"/>
    <s v="Debit Card"/>
    <n v="1811"/>
    <x v="0"/>
  </r>
  <r>
    <x v="92"/>
    <s v="CUST1191"/>
    <s v="27-121125"/>
    <x v="1"/>
    <x v="0"/>
    <n v="2"/>
    <n v="68111"/>
    <x v="4"/>
    <x v="4"/>
    <x v="2"/>
    <x v="4"/>
    <s v="Debit Card"/>
    <n v="136222"/>
    <x v="17"/>
  </r>
  <r>
    <x v="93"/>
    <s v="CUST1129"/>
    <s v="15-111125"/>
    <x v="8"/>
    <x v="1"/>
    <n v="2"/>
    <n v="1811"/>
    <x v="8"/>
    <x v="4"/>
    <x v="1"/>
    <x v="5"/>
    <s v="Net Banking"/>
    <n v="3622"/>
    <x v="6"/>
  </r>
  <r>
    <x v="94"/>
    <s v="CUST1176"/>
    <s v="17-131125"/>
    <x v="1"/>
    <x v="0"/>
    <n v="3"/>
    <n v="52111"/>
    <x v="1"/>
    <x v="1"/>
    <x v="2"/>
    <x v="1"/>
    <s v="Net Banking"/>
    <n v="156333"/>
    <x v="0"/>
  </r>
  <r>
    <x v="95"/>
    <s v="CUST1182"/>
    <s v="12-181125"/>
    <x v="3"/>
    <x v="0"/>
    <n v="1"/>
    <n v="16111"/>
    <x v="7"/>
    <x v="3"/>
    <x v="0"/>
    <x v="7"/>
    <s v="UPI"/>
    <n v="16111"/>
    <x v="2"/>
  </r>
  <r>
    <x v="96"/>
    <s v="CUST1191"/>
    <s v="11-111125"/>
    <x v="3"/>
    <x v="0"/>
    <n v="2"/>
    <n v="16111"/>
    <x v="2"/>
    <x v="4"/>
    <x v="0"/>
    <x v="2"/>
    <s v="Debit Card"/>
    <n v="32222"/>
    <x v="8"/>
  </r>
  <r>
    <x v="97"/>
    <s v="CUST1122"/>
    <s v="13-161125"/>
    <x v="8"/>
    <x v="1"/>
    <n v="3"/>
    <n v="3511"/>
    <x v="0"/>
    <x v="3"/>
    <x v="1"/>
    <x v="0"/>
    <s v="Net Banking"/>
    <n v="10533"/>
    <x v="10"/>
  </r>
  <r>
    <x v="98"/>
    <s v="CUST1157"/>
    <s v="17-171125"/>
    <x v="1"/>
    <x v="0"/>
    <n v="3"/>
    <n v="52111"/>
    <x v="2"/>
    <x v="0"/>
    <x v="1"/>
    <x v="2"/>
    <s v="Debit Card"/>
    <n v="156333"/>
    <x v="0"/>
  </r>
  <r>
    <x v="99"/>
    <s v="CUST1115"/>
    <s v="17-121125"/>
    <x v="5"/>
    <x v="2"/>
    <n v="4"/>
    <n v="9111"/>
    <x v="3"/>
    <x v="1"/>
    <x v="1"/>
    <x v="3"/>
    <s v="Credit Card"/>
    <n v="36444"/>
    <x v="0"/>
  </r>
  <r>
    <x v="99"/>
    <s v="CUST1179"/>
    <s v="11-111125"/>
    <x v="2"/>
    <x v="1"/>
    <n v="1"/>
    <n v="411"/>
    <x v="7"/>
    <x v="1"/>
    <x v="1"/>
    <x v="7"/>
    <s v="UPI"/>
    <n v="411"/>
    <x v="8"/>
  </r>
  <r>
    <x v="100"/>
    <s v="CUST1137"/>
    <s v="15-121125"/>
    <x v="8"/>
    <x v="1"/>
    <n v="4"/>
    <n v="1211"/>
    <x v="3"/>
    <x v="0"/>
    <x v="0"/>
    <x v="3"/>
    <s v="UPI"/>
    <n v="4844"/>
    <x v="6"/>
  </r>
  <r>
    <x v="101"/>
    <s v="CUST1181"/>
    <s v="15-121125"/>
    <x v="1"/>
    <x v="0"/>
    <n v="4"/>
    <n v="68111"/>
    <x v="7"/>
    <x v="0"/>
    <x v="0"/>
    <x v="7"/>
    <s v="Credit Card"/>
    <n v="272444"/>
    <x v="6"/>
  </r>
  <r>
    <x v="102"/>
    <s v="CUST1185"/>
    <s v="18-191125"/>
    <x v="1"/>
    <x v="0"/>
    <n v="2"/>
    <n v="52111"/>
    <x v="3"/>
    <x v="1"/>
    <x v="2"/>
    <x v="3"/>
    <s v="Credit Card"/>
    <n v="104222"/>
    <x v="5"/>
  </r>
  <r>
    <x v="103"/>
    <s v="CUST1134"/>
    <s v="27-181125"/>
    <x v="7"/>
    <x v="0"/>
    <n v="2"/>
    <n v="25111"/>
    <x v="6"/>
    <x v="3"/>
    <x v="2"/>
    <x v="6"/>
    <s v="UPI"/>
    <n v="50222"/>
    <x v="17"/>
  </r>
  <r>
    <x v="104"/>
    <s v="CUST1154"/>
    <s v="25-191125"/>
    <x v="1"/>
    <x v="0"/>
    <n v="2"/>
    <n v="45111"/>
    <x v="7"/>
    <x v="4"/>
    <x v="0"/>
    <x v="7"/>
    <s v="Debit Card"/>
    <n v="90222"/>
    <x v="4"/>
  </r>
  <r>
    <x v="105"/>
    <s v="CUST1122"/>
    <s v="31-131125"/>
    <x v="5"/>
    <x v="2"/>
    <n v="3"/>
    <n v="9111"/>
    <x v="6"/>
    <x v="0"/>
    <x v="0"/>
    <x v="6"/>
    <s v="Net Banking"/>
    <n v="27333"/>
    <x v="15"/>
  </r>
  <r>
    <x v="106"/>
    <s v="CUST1151"/>
    <s v="14-121125"/>
    <x v="1"/>
    <x v="0"/>
    <n v="4"/>
    <n v="45111"/>
    <x v="2"/>
    <x v="4"/>
    <x v="1"/>
    <x v="2"/>
    <s v="Credit Card"/>
    <n v="180444"/>
    <x v="7"/>
  </r>
  <r>
    <x v="107"/>
    <s v="CUST1111"/>
    <s v="16-111125"/>
    <x v="2"/>
    <x v="1"/>
    <n v="4"/>
    <n v="411"/>
    <x v="0"/>
    <x v="3"/>
    <x v="2"/>
    <x v="0"/>
    <s v="Net Banking"/>
    <n v="1644"/>
    <x v="13"/>
  </r>
  <r>
    <x v="108"/>
    <s v="CUST1152"/>
    <s v="22-151125"/>
    <x v="3"/>
    <x v="0"/>
    <n v="4"/>
    <n v="22111"/>
    <x v="1"/>
    <x v="4"/>
    <x v="2"/>
    <x v="1"/>
    <s v="Debit Card"/>
    <n v="88444"/>
    <x v="12"/>
  </r>
  <r>
    <x v="108"/>
    <s v="CUST1144"/>
    <s v="11-111125"/>
    <x v="7"/>
    <x v="0"/>
    <n v="1"/>
    <n v="25111"/>
    <x v="3"/>
    <x v="3"/>
    <x v="1"/>
    <x v="3"/>
    <s v="Net Banking"/>
    <n v="25111"/>
    <x v="8"/>
  </r>
  <r>
    <x v="109"/>
    <s v="CUST1183"/>
    <s v="16-111125"/>
    <x v="5"/>
    <x v="2"/>
    <n v="1"/>
    <n v="9111"/>
    <x v="0"/>
    <x v="0"/>
    <x v="1"/>
    <x v="0"/>
    <s v="Debit Card"/>
    <n v="9111"/>
    <x v="13"/>
  </r>
  <r>
    <x v="110"/>
    <s v="CUST1111"/>
    <s v="11-131125"/>
    <x v="4"/>
    <x v="1"/>
    <n v="4"/>
    <n v="1811"/>
    <x v="8"/>
    <x v="0"/>
    <x v="0"/>
    <x v="5"/>
    <s v="Credit Card"/>
    <n v="7244"/>
    <x v="8"/>
  </r>
  <r>
    <x v="111"/>
    <s v="CUST1165"/>
    <s v="2125/18/26"/>
    <x v="4"/>
    <x v="1"/>
    <n v="1"/>
    <n v="711"/>
    <x v="2"/>
    <x v="1"/>
    <x v="2"/>
    <x v="2"/>
    <s v="Credit Card"/>
    <n v="711"/>
    <x v="3"/>
  </r>
  <r>
    <x v="112"/>
    <s v="CUST1196"/>
    <s v="13-151125"/>
    <x v="1"/>
    <x v="0"/>
    <n v="2"/>
    <n v="61111"/>
    <x v="0"/>
    <x v="3"/>
    <x v="0"/>
    <x v="0"/>
    <s v="UPI"/>
    <n v="122222"/>
    <x v="10"/>
  </r>
  <r>
    <x v="113"/>
    <s v="CUST1113"/>
    <s v="21-191125"/>
    <x v="7"/>
    <x v="0"/>
    <n v="1"/>
    <n v="25111"/>
    <x v="9"/>
    <x v="2"/>
    <x v="0"/>
    <x v="8"/>
    <s v="Debit Card"/>
    <n v="25111"/>
    <x v="3"/>
  </r>
  <r>
    <x v="114"/>
    <s v="CUST1159"/>
    <s v="2125/16/28"/>
    <x v="8"/>
    <x v="1"/>
    <n v="1"/>
    <n v="2511"/>
    <x v="9"/>
    <x v="0"/>
    <x v="1"/>
    <x v="8"/>
    <s v="Cash"/>
    <n v="2511"/>
    <x v="3"/>
  </r>
  <r>
    <x v="115"/>
    <s v="CUST1119"/>
    <s v="14-191125"/>
    <x v="2"/>
    <x v="1"/>
    <n v="4"/>
    <n v="1111"/>
    <x v="4"/>
    <x v="3"/>
    <x v="2"/>
    <x v="4"/>
    <s v="Credit Card"/>
    <n v="4444"/>
    <x v="7"/>
  </r>
  <r>
    <x v="116"/>
    <s v="CUST1141"/>
    <s v="15-121125"/>
    <x v="3"/>
    <x v="0"/>
    <n v="3"/>
    <n v="12111"/>
    <x v="1"/>
    <x v="1"/>
    <x v="2"/>
    <x v="1"/>
    <s v="Debit Card"/>
    <n v="36333"/>
    <x v="6"/>
  </r>
  <r>
    <x v="117"/>
    <s v="CUST1188"/>
    <s v="24-141125"/>
    <x v="5"/>
    <x v="2"/>
    <n v="3"/>
    <n v="6511"/>
    <x v="7"/>
    <x v="3"/>
    <x v="2"/>
    <x v="7"/>
    <s v="UPI"/>
    <n v="19533"/>
    <x v="1"/>
  </r>
  <r>
    <x v="117"/>
    <s v="CUST1112"/>
    <s v="12-121125"/>
    <x v="2"/>
    <x v="1"/>
    <n v="2"/>
    <n v="411"/>
    <x v="6"/>
    <x v="3"/>
    <x v="0"/>
    <x v="6"/>
    <s v="Debit Card"/>
    <n v="822"/>
    <x v="2"/>
  </r>
  <r>
    <x v="118"/>
    <s v="CUST1182"/>
    <s v="28-111125"/>
    <x v="2"/>
    <x v="1"/>
    <n v="4"/>
    <n v="711"/>
    <x v="0"/>
    <x v="2"/>
    <x v="0"/>
    <x v="0"/>
    <s v="Debit Card"/>
    <n v="2844"/>
    <x v="16"/>
  </r>
  <r>
    <x v="119"/>
    <s v="CUST1159"/>
    <s v="19-111125"/>
    <x v="0"/>
    <x v="0"/>
    <n v="4"/>
    <n v="42111"/>
    <x v="1"/>
    <x v="3"/>
    <x v="2"/>
    <x v="1"/>
    <s v="Cash"/>
    <n v="168444"/>
    <x v="9"/>
  </r>
  <r>
    <x v="120"/>
    <s v="CUST1127"/>
    <s v="21-151125"/>
    <x v="8"/>
    <x v="1"/>
    <n v="1"/>
    <n v="1811"/>
    <x v="1"/>
    <x v="4"/>
    <x v="0"/>
    <x v="1"/>
    <s v="Debit Card"/>
    <n v="1811"/>
    <x v="3"/>
  </r>
  <r>
    <x v="121"/>
    <s v="CUST1169"/>
    <s v="21-111125"/>
    <x v="5"/>
    <x v="2"/>
    <n v="1"/>
    <n v="2511"/>
    <x v="6"/>
    <x v="3"/>
    <x v="0"/>
    <x v="6"/>
    <s v="Net Banking"/>
    <n v="2511"/>
    <x v="3"/>
  </r>
  <r>
    <x v="122"/>
    <s v="CUST1151"/>
    <s v="22-121125"/>
    <x v="3"/>
    <x v="0"/>
    <n v="2"/>
    <n v="16111"/>
    <x v="3"/>
    <x v="0"/>
    <x v="0"/>
    <x v="3"/>
    <s v="Debit Card"/>
    <n v="32222"/>
    <x v="12"/>
  </r>
  <r>
    <x v="123"/>
    <s v="CUST1197"/>
    <s v="13-171125"/>
    <x v="1"/>
    <x v="0"/>
    <n v="3"/>
    <n v="61111"/>
    <x v="6"/>
    <x v="0"/>
    <x v="1"/>
    <x v="6"/>
    <s v="Credit Card"/>
    <n v="183333"/>
    <x v="10"/>
  </r>
  <r>
    <x v="124"/>
    <s v="CUST1184"/>
    <s v="31-121125"/>
    <x v="1"/>
    <x v="0"/>
    <n v="2"/>
    <n v="52111"/>
    <x v="8"/>
    <x v="2"/>
    <x v="2"/>
    <x v="5"/>
    <s v="Credit Card"/>
    <n v="104222"/>
    <x v="15"/>
  </r>
  <r>
    <x v="125"/>
    <s v="CUST1116"/>
    <s v="14-171125"/>
    <x v="1"/>
    <x v="1"/>
    <n v="1"/>
    <n v="1111"/>
    <x v="3"/>
    <x v="2"/>
    <x v="2"/>
    <x v="3"/>
    <s v="Cash"/>
    <n v="1111"/>
    <x v="7"/>
  </r>
  <r>
    <x v="126"/>
    <s v="CUST1166"/>
    <s v="23-121125"/>
    <x v="8"/>
    <x v="1"/>
    <n v="2"/>
    <n v="3511"/>
    <x v="0"/>
    <x v="3"/>
    <x v="0"/>
    <x v="0"/>
    <s v="Cash"/>
    <n v="7022"/>
    <x v="18"/>
  </r>
  <r>
    <x v="126"/>
    <s v="CUST1116"/>
    <s v="24-131125"/>
    <x v="0"/>
    <x v="0"/>
    <n v="4"/>
    <n v="22111"/>
    <x v="7"/>
    <x v="0"/>
    <x v="2"/>
    <x v="7"/>
    <s v="Debit Card"/>
    <n v="88444"/>
    <x v="1"/>
  </r>
  <r>
    <x v="127"/>
    <s v="CUST1111"/>
    <s v="16-121125"/>
    <x v="5"/>
    <x v="2"/>
    <n v="3"/>
    <n v="4111"/>
    <x v="0"/>
    <x v="6"/>
    <x v="1"/>
    <x v="0"/>
    <s v="Credit Card"/>
    <n v="12333"/>
    <x v="13"/>
  </r>
  <r>
    <x v="128"/>
    <s v="CUST1187"/>
    <s v="14-171125"/>
    <x v="4"/>
    <x v="1"/>
    <n v="4"/>
    <n v="711"/>
    <x v="4"/>
    <x v="2"/>
    <x v="3"/>
    <x v="4"/>
    <s v="UPI"/>
    <n v="2844"/>
    <x v="7"/>
  </r>
  <r>
    <x v="129"/>
    <s v="CUST1181"/>
    <s v="13-181125"/>
    <x v="0"/>
    <x v="0"/>
    <n v="1"/>
    <n v="15111"/>
    <x v="3"/>
    <x v="1"/>
    <x v="1"/>
    <x v="3"/>
    <s v="Cash"/>
    <n v="15111"/>
    <x v="10"/>
  </r>
  <r>
    <x v="130"/>
    <s v="CUST1122"/>
    <s v="29-111125"/>
    <x v="3"/>
    <x v="0"/>
    <n v="2"/>
    <n v="22111"/>
    <x v="10"/>
    <x v="0"/>
    <x v="2"/>
    <x v="1"/>
    <s v="UPI"/>
    <n v="44222"/>
    <x v="14"/>
  </r>
  <r>
    <x v="131"/>
    <s v="CUST1179"/>
    <s v="13-171125"/>
    <x v="1"/>
    <x v="0"/>
    <n v="2"/>
    <n v="45111"/>
    <x v="8"/>
    <x v="0"/>
    <x v="1"/>
    <x v="5"/>
    <s v="Credit Card"/>
    <n v="90222"/>
    <x v="10"/>
  </r>
  <r>
    <x v="132"/>
    <s v="CUST1144"/>
    <s v="19-121125"/>
    <x v="5"/>
    <x v="2"/>
    <n v="1"/>
    <n v="4111"/>
    <x v="0"/>
    <x v="2"/>
    <x v="2"/>
    <x v="0"/>
    <s v="Credit Card"/>
    <n v="4111"/>
    <x v="9"/>
  </r>
  <r>
    <x v="133"/>
    <s v="CUST1161"/>
    <s v="16-191125"/>
    <x v="0"/>
    <x v="1"/>
    <s v="4"/>
    <n v="1811"/>
    <x v="7"/>
    <x v="0"/>
    <x v="0"/>
    <x v="7"/>
    <s v="Cash"/>
    <n v="7244"/>
    <x v="13"/>
  </r>
  <r>
    <x v="134"/>
    <s v="CUST1111"/>
    <s v="11-151125"/>
    <x v="5"/>
    <x v="2"/>
    <n v="3"/>
    <n v="9111"/>
    <x v="7"/>
    <x v="2"/>
    <x v="2"/>
    <x v="7"/>
    <s v="Credit Card"/>
    <n v="27333"/>
    <x v="8"/>
  </r>
  <r>
    <x v="135"/>
    <s v="CUST1115"/>
    <s v="31-171125"/>
    <x v="5"/>
    <x v="2"/>
    <n v="1"/>
    <n v="9111"/>
    <x v="8"/>
    <x v="1"/>
    <x v="2"/>
    <x v="5"/>
    <s v="Cash"/>
    <n v="9111"/>
    <x v="15"/>
  </r>
  <r>
    <x v="135"/>
    <s v="CUST1147"/>
    <s v="13-121125"/>
    <x v="2"/>
    <x v="1"/>
    <n v="2"/>
    <n v="411"/>
    <x v="7"/>
    <x v="1"/>
    <x v="0"/>
    <x v="7"/>
    <s v="UPI"/>
    <n v="822"/>
    <x v="10"/>
  </r>
  <r>
    <x v="136"/>
    <s v="CUST1164"/>
    <s v="26-131125"/>
    <x v="4"/>
    <x v="1"/>
    <n v="1"/>
    <n v="1811"/>
    <x v="1"/>
    <x v="2"/>
    <x v="0"/>
    <x v="1"/>
    <s v="UPI"/>
    <n v="1811"/>
    <x v="11"/>
  </r>
  <r>
    <x v="137"/>
    <s v="CUST1116"/>
    <s v="2125/18/11"/>
    <x v="2"/>
    <x v="1"/>
    <n v="2"/>
    <n v="711"/>
    <x v="0"/>
    <x v="2"/>
    <x v="1"/>
    <x v="0"/>
    <s v="Cash"/>
    <n v="1422"/>
    <x v="3"/>
  </r>
  <r>
    <x v="138"/>
    <s v="CUST1151"/>
    <s v="23-121125"/>
    <x v="8"/>
    <x v="1"/>
    <n v="4"/>
    <n v="3511"/>
    <x v="4"/>
    <x v="4"/>
    <x v="1"/>
    <x v="4"/>
    <s v="Cash"/>
    <n v="14044"/>
    <x v="18"/>
  </r>
  <r>
    <x v="139"/>
    <s v="CUST1191"/>
    <s v="15-111125"/>
    <x v="7"/>
    <x v="0"/>
    <n v="2"/>
    <n v="18111"/>
    <x v="3"/>
    <x v="4"/>
    <x v="1"/>
    <x v="3"/>
    <s v="Net Banking"/>
    <n v="36222"/>
    <x v="6"/>
  </r>
  <r>
    <x v="140"/>
    <s v="CUST1172"/>
    <s v="31-161125"/>
    <x v="4"/>
    <x v="1"/>
    <n v="2"/>
    <n v="1811"/>
    <x v="7"/>
    <x v="4"/>
    <x v="2"/>
    <x v="7"/>
    <s v="Net Banking"/>
    <n v="3622"/>
    <x v="15"/>
  </r>
  <r>
    <x v="141"/>
    <s v="CUST1135"/>
    <s v="13-141125"/>
    <x v="7"/>
    <x v="0"/>
    <s v="3"/>
    <n v="12111"/>
    <x v="1"/>
    <x v="3"/>
    <x v="2"/>
    <x v="1"/>
    <s v="Net Banking"/>
    <n v="36333"/>
    <x v="10"/>
  </r>
  <r>
    <x v="142"/>
    <s v="CUST1187"/>
    <s v="12-111125"/>
    <x v="2"/>
    <x v="1"/>
    <n v="2"/>
    <n v="411"/>
    <x v="6"/>
    <x v="4"/>
    <x v="1"/>
    <x v="6"/>
    <s v="Debit Card"/>
    <n v="822"/>
    <x v="2"/>
  </r>
  <r>
    <x v="143"/>
    <s v="CUST1126"/>
    <s v="19-151125"/>
    <x v="4"/>
    <x v="1"/>
    <n v="3"/>
    <n v="1211"/>
    <x v="7"/>
    <x v="0"/>
    <x v="2"/>
    <x v="7"/>
    <s v="Net Banking"/>
    <n v="3633"/>
    <x v="9"/>
  </r>
  <r>
    <x v="144"/>
    <s v="CUST1116"/>
    <s v="21-191125"/>
    <x v="3"/>
    <x v="0"/>
    <n v="2"/>
    <n v="9111"/>
    <x v="2"/>
    <x v="1"/>
    <x v="1"/>
    <x v="2"/>
    <s v="Credit Card"/>
    <n v="18222"/>
    <x v="3"/>
  </r>
  <r>
    <x v="144"/>
    <s v="CUST1142"/>
    <s v="21-131125"/>
    <x v="2"/>
    <x v="1"/>
    <n v="3"/>
    <n v="711"/>
    <x v="8"/>
    <x v="4"/>
    <x v="2"/>
    <x v="5"/>
    <s v="UPI"/>
    <n v="2133"/>
    <x v="3"/>
  </r>
  <r>
    <x v="145"/>
    <s v="CUST1171"/>
    <s v="11-181125"/>
    <x v="2"/>
    <x v="1"/>
    <n v="4"/>
    <n v="411"/>
    <x v="2"/>
    <x v="1"/>
    <x v="1"/>
    <x v="2"/>
    <s v="Net Banking"/>
    <n v="1644"/>
    <x v="8"/>
  </r>
  <r>
    <x v="146"/>
    <s v="CUST1145"/>
    <s v="19-121125"/>
    <x v="4"/>
    <x v="1"/>
    <n v="2"/>
    <n v="1211"/>
    <x v="7"/>
    <x v="0"/>
    <x v="2"/>
    <x v="7"/>
    <s v="UPI"/>
    <n v="2422"/>
    <x v="9"/>
  </r>
  <r>
    <x v="147"/>
    <s v="CUST1166"/>
    <s v="21-191125"/>
    <x v="4"/>
    <x v="1"/>
    <n v="1"/>
    <n v="1211"/>
    <x v="7"/>
    <x v="2"/>
    <x v="0"/>
    <x v="7"/>
    <s v="Credit Card"/>
    <n v="1211"/>
    <x v="3"/>
  </r>
  <r>
    <x v="148"/>
    <s v="CUST1181"/>
    <s v="11-121125"/>
    <x v="2"/>
    <x v="1"/>
    <n v="2"/>
    <n v="1111"/>
    <x v="6"/>
    <x v="2"/>
    <x v="0"/>
    <x v="6"/>
    <s v="Cash"/>
    <n v="2222"/>
    <x v="8"/>
  </r>
  <r>
    <x v="149"/>
    <s v="CUST1117"/>
    <s v="17-121125"/>
    <x v="4"/>
    <x v="1"/>
    <n v="4"/>
    <n v="1211"/>
    <x v="1"/>
    <x v="3"/>
    <x v="2"/>
    <x v="1"/>
    <s v="Cash"/>
    <n v="4844"/>
    <x v="0"/>
  </r>
  <r>
    <x v="150"/>
    <s v="CUST1151"/>
    <s v="19-111125"/>
    <x v="0"/>
    <x v="0"/>
    <n v="2"/>
    <n v="42111"/>
    <x v="0"/>
    <x v="4"/>
    <x v="0"/>
    <x v="0"/>
    <s v="Debit Card"/>
    <n v="84222"/>
    <x v="9"/>
  </r>
  <r>
    <x v="151"/>
    <s v="CUST1149"/>
    <s v="13-181125"/>
    <x v="0"/>
    <x v="0"/>
    <n v="1"/>
    <n v="31111"/>
    <x v="2"/>
    <x v="1"/>
    <x v="1"/>
    <x v="2"/>
    <s v="Net Banking"/>
    <n v="31111"/>
    <x v="10"/>
  </r>
  <r>
    <x v="152"/>
    <s v="CUST1172"/>
    <s v="11-111125"/>
    <x v="8"/>
    <x v="1"/>
    <n v="2"/>
    <n v="2511"/>
    <x v="5"/>
    <x v="1"/>
    <x v="0"/>
    <x v="5"/>
    <s v="UPI"/>
    <n v="5022"/>
    <x v="8"/>
  </r>
  <r>
    <x v="153"/>
    <s v="CUST1166"/>
    <s v="27-111125"/>
    <x v="1"/>
    <x v="0"/>
    <n v="4"/>
    <n v="45111"/>
    <x v="1"/>
    <x v="0"/>
    <x v="0"/>
    <x v="1"/>
    <s v="UPI"/>
    <n v="180444"/>
    <x v="17"/>
  </r>
  <r>
    <x v="153"/>
    <s v="CUST1186"/>
    <s v="29-151125"/>
    <x v="4"/>
    <x v="1"/>
    <n v="3"/>
    <n v="1811"/>
    <x v="0"/>
    <x v="3"/>
    <x v="0"/>
    <x v="0"/>
    <s v="Credit Card"/>
    <n v="5433"/>
    <x v="14"/>
  </r>
  <r>
    <x v="154"/>
    <s v="CUST1119"/>
    <s v="14-111125"/>
    <x v="4"/>
    <x v="1"/>
    <n v="4"/>
    <n v="1811"/>
    <x v="6"/>
    <x v="3"/>
    <x v="1"/>
    <x v="6"/>
    <s v="Debit Card"/>
    <n v="7244"/>
    <x v="7"/>
  </r>
  <r>
    <x v="155"/>
    <s v="CUST1129"/>
    <s v="17-151125"/>
    <x v="5"/>
    <x v="2"/>
    <n v="3"/>
    <n v="6511"/>
    <x v="2"/>
    <x v="3"/>
    <x v="1"/>
    <x v="2"/>
    <s v="Debit Card"/>
    <n v="19533"/>
    <x v="0"/>
  </r>
  <r>
    <x v="156"/>
    <s v="CUST1178"/>
    <s v="27-111125"/>
    <x v="8"/>
    <x v="1"/>
    <s v="unknown"/>
    <n v="3511"/>
    <x v="0"/>
    <x v="3"/>
    <x v="3"/>
    <x v="0"/>
    <s v="Debit Card"/>
    <n v="0"/>
    <x v="17"/>
  </r>
  <r>
    <x v="157"/>
    <s v="CUST1171"/>
    <s v="19-111125"/>
    <x v="4"/>
    <x v="1"/>
    <n v="3"/>
    <n v="1811"/>
    <x v="3"/>
    <x v="4"/>
    <x v="2"/>
    <x v="3"/>
    <s v="Debit Card"/>
    <n v="5433"/>
    <x v="9"/>
  </r>
  <r>
    <x v="158"/>
    <s v="CUST1166"/>
    <s v="14-191125"/>
    <x v="5"/>
    <x v="2"/>
    <n v="2"/>
    <n v="9111"/>
    <x v="0"/>
    <x v="2"/>
    <x v="1"/>
    <x v="0"/>
    <s v="Net Banking"/>
    <n v="18222"/>
    <x v="7"/>
  </r>
  <r>
    <x v="159"/>
    <s v="CUST1129"/>
    <s v="21-111125"/>
    <x v="1"/>
    <x v="0"/>
    <n v="2"/>
    <n v="52111"/>
    <x v="7"/>
    <x v="0"/>
    <x v="0"/>
    <x v="7"/>
    <s v="Cash"/>
    <n v="104222"/>
    <x v="3"/>
  </r>
  <r>
    <x v="160"/>
    <s v="CUST1116"/>
    <s v="24-111125"/>
    <x v="2"/>
    <x v="1"/>
    <n v="3"/>
    <n v="711"/>
    <x v="4"/>
    <x v="1"/>
    <x v="2"/>
    <x v="4"/>
    <s v="Credit Card"/>
    <n v="2133"/>
    <x v="1"/>
  </r>
  <r>
    <x v="161"/>
    <s v="CUST1167"/>
    <s v="25-141125"/>
    <x v="2"/>
    <x v="1"/>
    <n v="3"/>
    <n v="1111"/>
    <x v="2"/>
    <x v="0"/>
    <x v="1"/>
    <x v="2"/>
    <s v="UPI"/>
    <n v="3333"/>
    <x v="4"/>
  </r>
  <r>
    <x v="162"/>
    <s v="CUST1124"/>
    <s v="18-131125"/>
    <x v="5"/>
    <x v="2"/>
    <n v="4"/>
    <n v="4111"/>
    <x v="1"/>
    <x v="3"/>
    <x v="2"/>
    <x v="1"/>
    <s v="Credit Card"/>
    <n v="16444"/>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01C78B-C44E-4856-ABB8-B506E499DA1F}"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4">
    <pivotField dataField="1"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0"/>
        <item x="1"/>
        <item x="3"/>
        <item t="default"/>
      </items>
    </pivotField>
    <pivotField showAll="0">
      <items count="10">
        <item x="6"/>
        <item x="2"/>
        <item x="0"/>
        <item x="7"/>
        <item x="5"/>
        <item x="4"/>
        <item x="1"/>
        <item x="3"/>
        <item x="8"/>
        <item t="default"/>
      </items>
    </pivotField>
    <pivotField showAll="0"/>
    <pivotField dataField="1" showAll="0"/>
    <pivotField showAll="0"/>
  </pivotFields>
  <rowItems count="1">
    <i/>
  </rowItems>
  <colFields count="1">
    <field x="-2"/>
  </colFields>
  <colItems count="3">
    <i>
      <x/>
    </i>
    <i i="1">
      <x v="1"/>
    </i>
    <i i="2">
      <x v="2"/>
    </i>
  </colItems>
  <dataFields count="3">
    <dataField name="Sum of sales" fld="12" baseField="0" baseItem="0"/>
    <dataField name="Count of Order_ID" fld="0" subtotal="count" baseField="0" baseItem="0"/>
    <dataField name="Average of sales2"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A35AF1-4515-4450-955B-474D7AEDC192}"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4">
    <pivotField showAll="0"/>
    <pivotField showAll="0"/>
    <pivotField showAll="0"/>
    <pivotField showAll="0"/>
    <pivotField axis="axisRow" showAll="0">
      <items count="4">
        <item x="1"/>
        <item x="0"/>
        <item x="2"/>
        <item t="default"/>
      </items>
    </pivotField>
    <pivotField showAll="0"/>
    <pivotField showAll="0"/>
    <pivotField showAll="0">
      <items count="12">
        <item x="5"/>
        <item x="10"/>
        <item x="6"/>
        <item x="2"/>
        <item x="0"/>
        <item x="7"/>
        <item x="8"/>
        <item x="4"/>
        <item x="1"/>
        <item x="3"/>
        <item x="9"/>
        <item t="default"/>
      </items>
    </pivotField>
    <pivotField showAll="0"/>
    <pivotField showAll="0">
      <items count="5">
        <item x="2"/>
        <item x="0"/>
        <item x="1"/>
        <item x="3"/>
        <item t="default"/>
      </items>
    </pivotField>
    <pivotField showAll="0">
      <items count="10">
        <item x="6"/>
        <item x="2"/>
        <item x="0"/>
        <item x="7"/>
        <item x="5"/>
        <item x="4"/>
        <item x="1"/>
        <item x="3"/>
        <item x="8"/>
        <item t="default"/>
      </items>
    </pivotField>
    <pivotField showAll="0"/>
    <pivotField dataField="1" showAll="0"/>
    <pivotField showAll="0"/>
  </pivotFields>
  <rowFields count="1">
    <field x="4"/>
  </rowFields>
  <rowItems count="4">
    <i>
      <x/>
    </i>
    <i>
      <x v="1"/>
    </i>
    <i>
      <x v="2"/>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911A2E-90C6-46B3-BEED-BD2AE923408C}"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14">
    <pivotField showAll="0"/>
    <pivotField showAll="0"/>
    <pivotField showAll="0"/>
    <pivotField axis="axisRow" showAll="0">
      <items count="10">
        <item x="6"/>
        <item x="8"/>
        <item x="4"/>
        <item x="1"/>
        <item x="3"/>
        <item x="2"/>
        <item x="0"/>
        <item x="5"/>
        <item x="7"/>
        <item t="default"/>
      </items>
    </pivotField>
    <pivotField showAll="0">
      <items count="4">
        <item x="1"/>
        <item x="0"/>
        <item x="2"/>
        <item t="default"/>
      </items>
    </pivotField>
    <pivotField showAll="0"/>
    <pivotField showAll="0"/>
    <pivotField showAll="0"/>
    <pivotField showAll="0"/>
    <pivotField showAll="0">
      <items count="5">
        <item x="2"/>
        <item x="0"/>
        <item x="1"/>
        <item x="3"/>
        <item t="default"/>
      </items>
    </pivotField>
    <pivotField showAll="0">
      <items count="10">
        <item x="6"/>
        <item x="2"/>
        <item x="0"/>
        <item x="7"/>
        <item x="5"/>
        <item x="4"/>
        <item x="1"/>
        <item x="3"/>
        <item x="8"/>
        <item t="default"/>
      </items>
    </pivotField>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07B539-7CFB-43D8-BDC3-F675A1092498}"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pivotFields count="14">
    <pivotField showAll="0"/>
    <pivotField showAll="0"/>
    <pivotField showAll="0"/>
    <pivotField showAll="0"/>
    <pivotField showAll="0">
      <items count="4">
        <item x="1"/>
        <item x="0"/>
        <item x="2"/>
        <item t="default"/>
      </items>
    </pivotField>
    <pivotField showAll="0"/>
    <pivotField showAll="0"/>
    <pivotField axis="axisRow" showAll="0">
      <items count="12">
        <item x="5"/>
        <item x="10"/>
        <item x="6"/>
        <item x="2"/>
        <item x="0"/>
        <item x="7"/>
        <item x="8"/>
        <item x="4"/>
        <item x="1"/>
        <item x="3"/>
        <item x="9"/>
        <item t="default"/>
      </items>
    </pivotField>
    <pivotField showAll="0"/>
    <pivotField showAll="0">
      <items count="5">
        <item x="2"/>
        <item x="0"/>
        <item x="1"/>
        <item x="3"/>
        <item t="default"/>
      </items>
    </pivotField>
    <pivotField showAll="0">
      <items count="10">
        <item x="6"/>
        <item x="2"/>
        <item x="0"/>
        <item x="7"/>
        <item x="5"/>
        <item x="4"/>
        <item x="1"/>
        <item x="3"/>
        <item x="8"/>
        <item t="default"/>
      </items>
    </pivotField>
    <pivotField showAll="0"/>
    <pivotField dataField="1"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039B97-243B-4691-88D0-8130AEA35DB8}"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dataField="1"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5">
        <item x="2"/>
        <item x="0"/>
        <item x="1"/>
        <item x="3"/>
        <item t="default"/>
      </items>
    </pivotField>
    <pivotField showAll="0">
      <items count="10">
        <item x="6"/>
        <item x="2"/>
        <item x="0"/>
        <item x="7"/>
        <item x="5"/>
        <item x="4"/>
        <item x="1"/>
        <item x="3"/>
        <item x="8"/>
        <item t="default"/>
      </items>
    </pivotField>
    <pivotField showAll="0"/>
    <pivotField showAll="0"/>
    <pivotField showAll="0"/>
  </pivotFields>
  <rowFields count="1">
    <field x="9"/>
  </rowFields>
  <rowItems count="5">
    <i>
      <x/>
    </i>
    <i>
      <x v="1"/>
    </i>
    <i>
      <x v="2"/>
    </i>
    <i>
      <x v="3"/>
    </i>
    <i t="grand">
      <x/>
    </i>
  </rowItems>
  <colItems count="1">
    <i/>
  </colItems>
  <dataFields count="1">
    <dataField name="Count of Ord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23DF8C-9AEB-42C8-B6EA-233FF2ED2C5A}"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4">
    <pivotField dataField="1" showAll="0"/>
    <pivotField showAll="0"/>
    <pivotField showAll="0"/>
    <pivotField showAll="0"/>
    <pivotField showAll="0">
      <items count="4">
        <item x="1"/>
        <item x="0"/>
        <item x="2"/>
        <item t="default"/>
      </items>
    </pivotField>
    <pivotField showAll="0"/>
    <pivotField showAll="0"/>
    <pivotField showAll="0"/>
    <pivotField axis="axisRow" showAll="0">
      <items count="8">
        <item x="2"/>
        <item x="0"/>
        <item x="3"/>
        <item x="4"/>
        <item x="5"/>
        <item x="1"/>
        <item x="6"/>
        <item t="default"/>
      </items>
    </pivotField>
    <pivotField showAll="0">
      <items count="5">
        <item x="2"/>
        <item x="0"/>
        <item x="1"/>
        <item x="3"/>
        <item t="default"/>
      </items>
    </pivotField>
    <pivotField showAll="0">
      <items count="10">
        <item x="6"/>
        <item x="2"/>
        <item x="0"/>
        <item x="7"/>
        <item x="5"/>
        <item x="4"/>
        <item x="1"/>
        <item x="3"/>
        <item x="8"/>
        <item t="default"/>
      </items>
    </pivotField>
    <pivotField showAll="0"/>
    <pivotField showAll="0"/>
    <pivotField showAll="0"/>
  </pivotFields>
  <rowFields count="1">
    <field x="8"/>
  </rowFields>
  <rowItems count="8">
    <i>
      <x/>
    </i>
    <i>
      <x v="1"/>
    </i>
    <i>
      <x v="2"/>
    </i>
    <i>
      <x v="3"/>
    </i>
    <i>
      <x v="4"/>
    </i>
    <i>
      <x v="5"/>
    </i>
    <i>
      <x v="6"/>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588B0C-1DFA-4868-BDCE-74E75ECDAF25}"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3" firstHeaderRow="1" firstDataRow="1" firstDataCol="1"/>
  <pivotFields count="14">
    <pivotField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0"/>
        <item x="1"/>
        <item x="3"/>
        <item t="default"/>
      </items>
    </pivotField>
    <pivotField showAll="0">
      <items count="10">
        <item x="6"/>
        <item x="2"/>
        <item x="0"/>
        <item x="7"/>
        <item x="5"/>
        <item x="4"/>
        <item x="1"/>
        <item x="3"/>
        <item x="8"/>
        <item t="default"/>
      </items>
    </pivotField>
    <pivotField showAll="0"/>
    <pivotField dataField="1" showAll="0"/>
    <pivotField axis="axisRow" showAll="0">
      <items count="20">
        <item x="8"/>
        <item x="2"/>
        <item x="10"/>
        <item x="7"/>
        <item x="6"/>
        <item x="13"/>
        <item x="0"/>
        <item x="5"/>
        <item x="9"/>
        <item x="3"/>
        <item x="12"/>
        <item x="18"/>
        <item x="1"/>
        <item x="4"/>
        <item x="11"/>
        <item x="17"/>
        <item x="16"/>
        <item x="14"/>
        <item x="15"/>
        <item t="default"/>
      </items>
    </pivotField>
  </pivotFields>
  <rowFields count="1">
    <field x="1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94090B-BFBC-4308-A2F4-86FF5E5A6132}" sourceName="Category">
  <pivotTables>
    <pivotTable tabId="10" name="PivotTable1"/>
    <pivotTable tabId="8" name="PivotTable1"/>
    <pivotTable tabId="11" name="PivotTable2"/>
    <pivotTable tabId="12" name="PivotTable3"/>
    <pivotTable tabId="13" name="PivotTable4"/>
    <pivotTable tabId="14" name="PivotTable5"/>
    <pivotTable tabId="15" name="PivotTable6"/>
  </pivotTables>
  <data>
    <tabular pivotCacheId="91557728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0C4FCA2-F788-4E36-9DC6-CB2836C50935}" sourceName="Order_Status">
  <pivotTables>
    <pivotTable tabId="10" name="PivotTable1"/>
    <pivotTable tabId="8" name="PivotTable1"/>
    <pivotTable tabId="11" name="PivotTable2"/>
    <pivotTable tabId="12" name="PivotTable3"/>
    <pivotTable tabId="13" name="PivotTable4"/>
    <pivotTable tabId="14" name="PivotTable5"/>
    <pivotTable tabId="15" name="PivotTable6"/>
  </pivotTables>
  <data>
    <tabular pivotCacheId="915577282">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clean" xr10:uid="{EC33FD35-F9E8-4140-BA48-686D815DAA96}" sourceName="city_clean">
  <pivotTables>
    <pivotTable tabId="10" name="PivotTable1"/>
    <pivotTable tabId="8" name="PivotTable1"/>
    <pivotTable tabId="11" name="PivotTable2"/>
    <pivotTable tabId="12" name="PivotTable3"/>
    <pivotTable tabId="13" name="PivotTable4"/>
    <pivotTable tabId="14" name="PivotTable5"/>
    <pivotTable tabId="15" name="PivotTable6"/>
  </pivotTables>
  <data>
    <tabular pivotCacheId="915577282">
      <items count="9">
        <i x="6" s="1"/>
        <i x="2" s="1"/>
        <i x="0" s="1"/>
        <i x="7" s="1"/>
        <i x="5" s="1"/>
        <i x="4" s="1"/>
        <i x="1"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D7D4127-691A-45F1-9314-AD797A937639}" cache="Slicer_Category" caption="Category" rowHeight="234950"/>
  <slicer name="Order_Status" xr10:uid="{4A2AF528-2D03-4E8E-B839-9E57D62A20A0}" cache="Slicer_Order_Status" caption="Order_Status" rowHeight="234950"/>
  <slicer name="city_clean" xr10:uid="{A36ED024-50DA-4E09-9AE9-9E8F89DD3DC7}" cache="Slicer_city_clean" caption="city_clea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CE5E97-3732-4335-9CEE-369869EC0ECA}" name="Table1" displayName="Table1" ref="A1:M303" totalsRowShown="0" headerRowDxfId="25" headerRowBorderDxfId="24" tableBorderDxfId="23">
  <autoFilter ref="A1:M303" xr:uid="{C6CE5E97-3732-4335-9CEE-369869EC0ECA}"/>
  <tableColumns count="13">
    <tableColumn id="1" xr3:uid="{E2305D16-F6BF-4D3A-A67F-A25E6063ECC2}" name="Order_ID"/>
    <tableColumn id="2" xr3:uid="{C1FFC475-87E3-46AE-8BFE-577F49D3D19F}" name="Customer_ID"/>
    <tableColumn id="3" xr3:uid="{51BB6935-C670-4A3C-9006-C4F02A7A7C53}" name="Order_Date" dataDxfId="22"/>
    <tableColumn id="4" xr3:uid="{8B5AC787-C0D3-4C42-9790-07F547331B24}" name="Product"/>
    <tableColumn id="5" xr3:uid="{A3DFFE17-3BEC-4822-B50E-367E4E7D9038}" name="Category"/>
    <tableColumn id="6" xr3:uid="{AAB37800-D74C-48AC-BA53-CA7C2D28371C}" name="Quantity"/>
    <tableColumn id="7" xr3:uid="{DD2EA772-7EBE-4390-B4D8-61C9E68701BB}" name="Unit_Price"/>
    <tableColumn id="8" xr3:uid="{7C88D230-FA0A-44F3-88C0-8DD8274CC771}" name="City"/>
    <tableColumn id="9" xr3:uid="{E62C6BD1-5140-4BC9-AD52-687AA4638F19}" name="Payment_Method"/>
    <tableColumn id="11" xr3:uid="{95EC2610-90AC-47CD-A249-6358B1FE755B}" name="Clean_Payment" dataDxfId="21">
      <calculatedColumnFormula>PROPER(TRIM(I2))</calculatedColumnFormula>
    </tableColumn>
    <tableColumn id="10" xr3:uid="{4E2E6165-04CE-4F3E-96DE-18E71D042127}" name="Order_Status"/>
    <tableColumn id="13" xr3:uid="{27F42B2D-EC54-476B-B459-33F2EAC348AB}" name="total_sales" dataDxfId="20">
      <calculatedColumnFormula>F2*G2</calculatedColumnFormula>
    </tableColumn>
    <tableColumn id="12" xr3:uid="{FEC44E24-0D10-4E35-B0D0-FAE7BD1A0081}" name="month" dataDxfId="19">
      <calculatedColumnFormula>IFERROR(MID(C2,4,2),"")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129010-9A59-41D7-85D7-4C02656EA3E7}" name="data" displayName="data" ref="A1:N301" totalsRowShown="0" headerRowDxfId="18" dataDxfId="16" headerRowBorderDxfId="17" tableBorderDxfId="15" totalsRowBorderDxfId="14">
  <autoFilter ref="A1:N301" xr:uid="{40129010-9A59-41D7-85D7-4C02656EA3E7}"/>
  <tableColumns count="14">
    <tableColumn id="1" xr3:uid="{FABE71A7-912B-43A3-969C-957E7D0A091A}" name="Order_ID" dataDxfId="13"/>
    <tableColumn id="2" xr3:uid="{F5C8F3D0-9EFE-4D43-BE43-09C28B8B468D}" name="Customer_ID" dataDxfId="12"/>
    <tableColumn id="3" xr3:uid="{AC33B559-DAB2-4CEC-96BA-B91F3B336B8E}" name="Order_Date" dataDxfId="11"/>
    <tableColumn id="4" xr3:uid="{F2A129E2-C0F7-4AC5-98E6-F4E69965D96E}" name="Product" dataDxfId="10"/>
    <tableColumn id="5" xr3:uid="{981B1BDC-7BE0-4E09-89BC-297F06DE4776}" name="Category" dataDxfId="9"/>
    <tableColumn id="6" xr3:uid="{8AEFB026-18F9-4243-B45C-4C72B7DF54CB}" name="Quantity" dataDxfId="8"/>
    <tableColumn id="7" xr3:uid="{3E0A0E9C-A7AD-4EE1-AB72-065CF74D84CF}" name="Unit_Price" dataDxfId="7"/>
    <tableColumn id="8" xr3:uid="{91FDED0A-646B-46F0-AD70-B2D389EE7E47}" name="City" dataDxfId="6"/>
    <tableColumn id="9" xr3:uid="{9C942A9E-1799-4EAD-AF8F-0E2A9412C4A9}" name="Payment_Method" dataDxfId="5"/>
    <tableColumn id="11" xr3:uid="{1B769800-8DB5-4BF8-A3E7-ED57AECFEBAC}" name="Order_Status" dataDxfId="4"/>
    <tableColumn id="14" xr3:uid="{4C822F07-89D1-4AEA-9855-43C17456B30E}" name="city_clean" dataDxfId="3">
      <calculatedColumnFormula>PROPER(TRIM(H2))</calculatedColumnFormula>
    </tableColumn>
    <tableColumn id="15" xr3:uid="{BF4B3ADE-DDDC-410A-AC34-42823E6D5351}" name="Column1" dataDxfId="2"/>
    <tableColumn id="16" xr3:uid="{019AC39D-7750-493E-BA71-9AF66E16D604}" name="sales" dataDxfId="1">
      <calculatedColumnFormula>IFERROR(F2*G2,0)</calculatedColumnFormula>
    </tableColumn>
    <tableColumn id="17" xr3:uid="{2BF4FA31-C827-4039-A69E-8DF6C37925F5}" name="day" dataDxfId="0">
      <calculatedColumnFormula>IFERROR(VALUE(LEFT(C2,2)),"")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3"/>
  <sheetViews>
    <sheetView topLeftCell="A64" zoomScale="96" zoomScaleNormal="96" workbookViewId="0">
      <selection activeCell="H15" sqref="H15"/>
    </sheetView>
  </sheetViews>
  <sheetFormatPr defaultRowHeight="14.4" x14ac:dyDescent="0.3"/>
  <cols>
    <col min="1" max="1" width="12.88671875" customWidth="1"/>
    <col min="2" max="2" width="16.88671875" customWidth="1"/>
    <col min="3" max="3" width="16.44140625" customWidth="1"/>
    <col min="4" max="4" width="13.5546875" customWidth="1"/>
    <col min="5" max="5" width="13.77734375" customWidth="1"/>
    <col min="6" max="6" width="12.88671875" customWidth="1"/>
    <col min="7" max="7" width="15.77734375" customWidth="1"/>
    <col min="8" max="8" width="12" customWidth="1"/>
    <col min="9" max="10" width="22.77734375" customWidth="1"/>
    <col min="11" max="12" width="16.88671875" customWidth="1"/>
  </cols>
  <sheetData>
    <row r="1" spans="1:14" x14ac:dyDescent="0.3">
      <c r="A1" s="2" t="s">
        <v>0</v>
      </c>
      <c r="B1" s="2" t="s">
        <v>1</v>
      </c>
      <c r="C1" s="2" t="s">
        <v>2</v>
      </c>
      <c r="D1" s="2" t="s">
        <v>3</v>
      </c>
      <c r="E1" s="2" t="s">
        <v>4</v>
      </c>
      <c r="F1" s="2" t="s">
        <v>5</v>
      </c>
      <c r="G1" s="2" t="s">
        <v>6</v>
      </c>
      <c r="H1" s="2" t="s">
        <v>7</v>
      </c>
      <c r="I1" s="2" t="s">
        <v>8</v>
      </c>
      <c r="J1" s="3" t="s">
        <v>68</v>
      </c>
      <c r="K1" s="2" t="s">
        <v>9</v>
      </c>
      <c r="L1" s="3" t="s">
        <v>449</v>
      </c>
      <c r="M1" s="2" t="s">
        <v>554</v>
      </c>
    </row>
    <row r="2" spans="1:14" x14ac:dyDescent="0.3">
      <c r="A2" t="s">
        <v>69</v>
      </c>
      <c r="B2" t="s">
        <v>70</v>
      </c>
      <c r="C2" s="4" t="s">
        <v>312</v>
      </c>
      <c r="D2" t="s">
        <v>10</v>
      </c>
      <c r="E2" t="s">
        <v>11</v>
      </c>
      <c r="F2" t="s">
        <v>12</v>
      </c>
      <c r="G2">
        <v>22111</v>
      </c>
      <c r="H2" t="s">
        <v>13</v>
      </c>
      <c r="I2" t="s">
        <v>14</v>
      </c>
      <c r="J2" t="str">
        <f t="shared" ref="J2:J65" si="0">PROPER(TRIM(I2))</f>
        <v>Credit Card</v>
      </c>
      <c r="K2" t="s">
        <v>15</v>
      </c>
      <c r="L2">
        <f>F2*G2</f>
        <v>22111</v>
      </c>
      <c r="M2" t="str">
        <f t="shared" ref="M2:M65" si="1">IFERROR(MID(C2,4,2),"")</f>
        <v>11</v>
      </c>
    </row>
    <row r="3" spans="1:14" x14ac:dyDescent="0.3">
      <c r="A3" t="s">
        <v>71</v>
      </c>
      <c r="B3" t="s">
        <v>72</v>
      </c>
      <c r="C3" s="4" t="s">
        <v>313</v>
      </c>
      <c r="D3" t="s">
        <v>16</v>
      </c>
      <c r="E3" t="s">
        <v>11</v>
      </c>
      <c r="F3">
        <v>2</v>
      </c>
      <c r="G3">
        <v>68111</v>
      </c>
      <c r="H3" t="s">
        <v>17</v>
      </c>
      <c r="I3" t="s">
        <v>14</v>
      </c>
      <c r="J3" t="str">
        <f t="shared" si="0"/>
        <v>Credit Card</v>
      </c>
      <c r="K3" t="s">
        <v>18</v>
      </c>
      <c r="L3">
        <f t="shared" ref="L3:L65" si="2">F3*G3</f>
        <v>136222</v>
      </c>
      <c r="M3" t="str">
        <f t="shared" si="1"/>
        <v>16</v>
      </c>
    </row>
    <row r="4" spans="1:14" x14ac:dyDescent="0.3">
      <c r="A4" t="s">
        <v>73</v>
      </c>
      <c r="B4" t="s">
        <v>74</v>
      </c>
      <c r="C4" s="4" t="s">
        <v>314</v>
      </c>
      <c r="D4" t="s">
        <v>10</v>
      </c>
      <c r="E4" t="s">
        <v>11</v>
      </c>
      <c r="F4">
        <v>1</v>
      </c>
      <c r="G4">
        <v>15111</v>
      </c>
      <c r="H4" t="s">
        <v>19</v>
      </c>
      <c r="I4" t="s">
        <v>20</v>
      </c>
      <c r="J4" t="str">
        <f t="shared" si="0"/>
        <v>Upi</v>
      </c>
      <c r="K4" t="s">
        <v>21</v>
      </c>
      <c r="L4">
        <f t="shared" si="2"/>
        <v>15111</v>
      </c>
      <c r="M4" t="str">
        <f t="shared" si="1"/>
        <v>11</v>
      </c>
      <c r="N4" s="6"/>
    </row>
    <row r="5" spans="1:14" x14ac:dyDescent="0.3">
      <c r="A5" t="s">
        <v>75</v>
      </c>
      <c r="B5" t="s">
        <v>76</v>
      </c>
      <c r="C5" s="4" t="s">
        <v>315</v>
      </c>
      <c r="D5" t="s">
        <v>22</v>
      </c>
      <c r="E5" t="s">
        <v>23</v>
      </c>
      <c r="F5">
        <v>3</v>
      </c>
      <c r="G5">
        <v>411</v>
      </c>
      <c r="H5" t="s">
        <v>24</v>
      </c>
      <c r="I5" t="s">
        <v>25</v>
      </c>
      <c r="J5" t="str">
        <f t="shared" si="0"/>
        <v>Cash</v>
      </c>
      <c r="K5" t="s">
        <v>21</v>
      </c>
      <c r="L5">
        <f t="shared" si="2"/>
        <v>1233</v>
      </c>
      <c r="M5" t="str">
        <f t="shared" si="1"/>
        <v>12</v>
      </c>
    </row>
    <row r="6" spans="1:14" x14ac:dyDescent="0.3">
      <c r="A6" t="s">
        <v>77</v>
      </c>
      <c r="B6" t="s">
        <v>78</v>
      </c>
      <c r="C6" s="4" t="s">
        <v>316</v>
      </c>
      <c r="D6" t="s">
        <v>26</v>
      </c>
      <c r="E6" t="s">
        <v>11</v>
      </c>
      <c r="F6">
        <v>2</v>
      </c>
      <c r="G6">
        <v>9111</v>
      </c>
      <c r="H6" t="s">
        <v>19</v>
      </c>
      <c r="I6" t="s">
        <v>27</v>
      </c>
      <c r="J6" t="str">
        <f t="shared" si="0"/>
        <v>Debit Card</v>
      </c>
      <c r="K6" t="s">
        <v>21</v>
      </c>
      <c r="L6">
        <f t="shared" si="2"/>
        <v>18222</v>
      </c>
      <c r="M6" t="str">
        <f t="shared" si="1"/>
        <v>13</v>
      </c>
    </row>
    <row r="7" spans="1:14" x14ac:dyDescent="0.3">
      <c r="A7" t="s">
        <v>79</v>
      </c>
      <c r="B7" t="s">
        <v>80</v>
      </c>
      <c r="C7" s="4" t="s">
        <v>317</v>
      </c>
      <c r="D7" t="s">
        <v>28</v>
      </c>
      <c r="E7" t="s">
        <v>23</v>
      </c>
      <c r="F7">
        <v>3</v>
      </c>
      <c r="G7">
        <v>1211</v>
      </c>
      <c r="H7" t="s">
        <v>29</v>
      </c>
      <c r="I7" t="s">
        <v>14</v>
      </c>
      <c r="J7" t="str">
        <f t="shared" si="0"/>
        <v>Credit Card</v>
      </c>
      <c r="K7" t="s">
        <v>21</v>
      </c>
      <c r="L7">
        <f t="shared" si="2"/>
        <v>3633</v>
      </c>
      <c r="M7" t="str">
        <f t="shared" si="1"/>
        <v>11</v>
      </c>
    </row>
    <row r="8" spans="1:14" x14ac:dyDescent="0.3">
      <c r="A8" t="s">
        <v>81</v>
      </c>
      <c r="B8" t="s">
        <v>82</v>
      </c>
      <c r="C8" s="4" t="s">
        <v>318</v>
      </c>
      <c r="D8" t="s">
        <v>30</v>
      </c>
      <c r="E8" t="s">
        <v>31</v>
      </c>
      <c r="F8">
        <v>4</v>
      </c>
      <c r="G8">
        <v>9111</v>
      </c>
      <c r="H8" t="s">
        <v>17</v>
      </c>
      <c r="I8" t="s">
        <v>32</v>
      </c>
      <c r="J8" t="str">
        <f t="shared" si="0"/>
        <v>Net Banking</v>
      </c>
      <c r="K8" t="s">
        <v>18</v>
      </c>
      <c r="L8">
        <f t="shared" si="2"/>
        <v>36444</v>
      </c>
      <c r="M8" t="str">
        <f t="shared" si="1"/>
        <v>17</v>
      </c>
    </row>
    <row r="9" spans="1:14" x14ac:dyDescent="0.3">
      <c r="A9" t="s">
        <v>83</v>
      </c>
      <c r="B9" t="s">
        <v>78</v>
      </c>
      <c r="C9" s="4" t="s">
        <v>314</v>
      </c>
      <c r="D9" t="s">
        <v>10</v>
      </c>
      <c r="E9" t="s">
        <v>11</v>
      </c>
      <c r="F9">
        <v>1</v>
      </c>
      <c r="G9">
        <v>22111</v>
      </c>
      <c r="H9" t="s">
        <v>24</v>
      </c>
      <c r="I9" t="s">
        <v>32</v>
      </c>
      <c r="J9" t="str">
        <f t="shared" si="0"/>
        <v>Net Banking</v>
      </c>
      <c r="K9" t="s">
        <v>15</v>
      </c>
      <c r="L9">
        <f t="shared" si="2"/>
        <v>22111</v>
      </c>
      <c r="M9" t="str">
        <f t="shared" si="1"/>
        <v>11</v>
      </c>
    </row>
    <row r="10" spans="1:14" x14ac:dyDescent="0.3">
      <c r="A10" t="s">
        <v>84</v>
      </c>
      <c r="B10" t="s">
        <v>85</v>
      </c>
      <c r="C10" s="4" t="s">
        <v>319</v>
      </c>
      <c r="D10" t="s">
        <v>33</v>
      </c>
      <c r="E10" t="s">
        <v>11</v>
      </c>
      <c r="F10">
        <v>3</v>
      </c>
      <c r="G10">
        <v>15111</v>
      </c>
      <c r="H10" t="s">
        <v>17</v>
      </c>
      <c r="I10" t="s">
        <v>32</v>
      </c>
      <c r="J10" t="str">
        <f>PROPER(TRIM(I11))</f>
        <v>Debit Card</v>
      </c>
      <c r="K10" t="s">
        <v>15</v>
      </c>
      <c r="L10">
        <f t="shared" si="2"/>
        <v>45333</v>
      </c>
      <c r="M10" t="str">
        <f t="shared" si="1"/>
        <v>19</v>
      </c>
    </row>
    <row r="11" spans="1:14" x14ac:dyDescent="0.3">
      <c r="A11" t="s">
        <v>69</v>
      </c>
      <c r="B11" t="s">
        <v>86</v>
      </c>
      <c r="C11" s="4" t="s">
        <v>320</v>
      </c>
      <c r="D11" t="s">
        <v>22</v>
      </c>
      <c r="E11" t="s">
        <v>23</v>
      </c>
      <c r="F11">
        <v>2</v>
      </c>
      <c r="G11">
        <v>1111</v>
      </c>
      <c r="H11" t="s">
        <v>64</v>
      </c>
      <c r="I11" t="s">
        <v>27</v>
      </c>
      <c r="J11" t="str">
        <f t="shared" si="0"/>
        <v>Debit Card</v>
      </c>
      <c r="K11" t="s">
        <v>15</v>
      </c>
      <c r="L11">
        <f t="shared" si="2"/>
        <v>2222</v>
      </c>
      <c r="M11" t="str">
        <f t="shared" si="1"/>
        <v>11</v>
      </c>
    </row>
    <row r="12" spans="1:14" x14ac:dyDescent="0.3">
      <c r="A12" t="s">
        <v>69</v>
      </c>
      <c r="B12" t="s">
        <v>87</v>
      </c>
      <c r="C12" s="4" t="s">
        <v>321</v>
      </c>
      <c r="D12" t="s">
        <v>16</v>
      </c>
      <c r="E12" t="s">
        <v>11</v>
      </c>
      <c r="F12">
        <v>2</v>
      </c>
      <c r="G12">
        <v>45111</v>
      </c>
      <c r="H12" t="s">
        <v>24</v>
      </c>
      <c r="I12" t="s">
        <v>32</v>
      </c>
      <c r="J12" t="str">
        <f t="shared" si="0"/>
        <v>Net Banking</v>
      </c>
      <c r="K12" t="s">
        <v>21</v>
      </c>
      <c r="L12">
        <f t="shared" si="2"/>
        <v>90222</v>
      </c>
      <c r="M12" t="str">
        <f t="shared" si="1"/>
        <v>11</v>
      </c>
    </row>
    <row r="13" spans="1:14" x14ac:dyDescent="0.3">
      <c r="A13" t="s">
        <v>71</v>
      </c>
      <c r="B13" t="s">
        <v>88</v>
      </c>
      <c r="C13" s="4" t="s">
        <v>322</v>
      </c>
      <c r="D13" t="s">
        <v>34</v>
      </c>
      <c r="E13" t="s">
        <v>11</v>
      </c>
      <c r="F13">
        <v>2</v>
      </c>
      <c r="G13">
        <v>35111</v>
      </c>
      <c r="H13" t="s">
        <v>67</v>
      </c>
      <c r="I13" t="s">
        <v>65</v>
      </c>
      <c r="J13" t="str">
        <f t="shared" si="0"/>
        <v>Unknown</v>
      </c>
      <c r="K13" t="s">
        <v>18</v>
      </c>
      <c r="L13">
        <f t="shared" si="2"/>
        <v>70222</v>
      </c>
      <c r="M13" t="str">
        <f t="shared" si="1"/>
        <v>13</v>
      </c>
    </row>
    <row r="14" spans="1:14" x14ac:dyDescent="0.3">
      <c r="A14" t="s">
        <v>73</v>
      </c>
      <c r="B14" t="s">
        <v>89</v>
      </c>
      <c r="C14" s="4" t="s">
        <v>312</v>
      </c>
      <c r="D14" t="s">
        <v>16</v>
      </c>
      <c r="E14" t="s">
        <v>11</v>
      </c>
      <c r="F14">
        <v>1</v>
      </c>
      <c r="G14">
        <v>52111</v>
      </c>
      <c r="H14" t="s">
        <v>13</v>
      </c>
      <c r="I14" t="s">
        <v>32</v>
      </c>
      <c r="J14" t="str">
        <f t="shared" si="0"/>
        <v>Net Banking</v>
      </c>
      <c r="K14" t="s">
        <v>15</v>
      </c>
      <c r="L14">
        <f t="shared" si="2"/>
        <v>52111</v>
      </c>
      <c r="M14" t="str">
        <f t="shared" si="1"/>
        <v>11</v>
      </c>
    </row>
    <row r="15" spans="1:14" x14ac:dyDescent="0.3">
      <c r="A15" t="s">
        <v>75</v>
      </c>
      <c r="B15" t="s">
        <v>90</v>
      </c>
      <c r="C15" s="4" t="s">
        <v>323</v>
      </c>
      <c r="D15" t="s">
        <v>22</v>
      </c>
      <c r="E15" t="s">
        <v>23</v>
      </c>
      <c r="F15">
        <v>4</v>
      </c>
      <c r="G15">
        <v>711</v>
      </c>
      <c r="H15" t="s">
        <v>19</v>
      </c>
      <c r="I15" t="s">
        <v>27</v>
      </c>
      <c r="J15" t="str">
        <f t="shared" si="0"/>
        <v>Debit Card</v>
      </c>
      <c r="K15" t="s">
        <v>18</v>
      </c>
      <c r="L15">
        <f t="shared" si="2"/>
        <v>2844</v>
      </c>
      <c r="M15" t="str">
        <f t="shared" si="1"/>
        <v>12</v>
      </c>
    </row>
    <row r="16" spans="1:14" x14ac:dyDescent="0.3">
      <c r="A16" t="s">
        <v>77</v>
      </c>
      <c r="B16" t="s">
        <v>91</v>
      </c>
      <c r="C16" s="4" t="s">
        <v>324</v>
      </c>
      <c r="D16" t="s">
        <v>34</v>
      </c>
      <c r="E16" t="s">
        <v>11</v>
      </c>
      <c r="F16">
        <v>4</v>
      </c>
      <c r="G16">
        <v>12111</v>
      </c>
      <c r="H16" t="s">
        <v>35</v>
      </c>
      <c r="I16" t="s">
        <v>14</v>
      </c>
      <c r="J16" t="str">
        <f t="shared" si="0"/>
        <v>Credit Card</v>
      </c>
      <c r="K16" t="s">
        <v>18</v>
      </c>
      <c r="L16">
        <f t="shared" si="2"/>
        <v>48444</v>
      </c>
      <c r="M16" t="str">
        <f t="shared" si="1"/>
        <v>14</v>
      </c>
    </row>
    <row r="17" spans="1:13" x14ac:dyDescent="0.3">
      <c r="A17" t="s">
        <v>79</v>
      </c>
      <c r="B17" t="s">
        <v>92</v>
      </c>
      <c r="C17" s="4" t="s">
        <v>325</v>
      </c>
      <c r="D17" t="s">
        <v>36</v>
      </c>
      <c r="E17" t="s">
        <v>23</v>
      </c>
      <c r="F17">
        <v>3</v>
      </c>
      <c r="G17">
        <v>1211</v>
      </c>
      <c r="H17" t="s">
        <v>67</v>
      </c>
      <c r="I17" t="s">
        <v>14</v>
      </c>
      <c r="J17" t="str">
        <f t="shared" si="0"/>
        <v>Credit Card</v>
      </c>
      <c r="K17" t="s">
        <v>18</v>
      </c>
      <c r="L17">
        <f t="shared" si="2"/>
        <v>3633</v>
      </c>
      <c r="M17" t="str">
        <f t="shared" si="1"/>
        <v>12</v>
      </c>
    </row>
    <row r="18" spans="1:13" x14ac:dyDescent="0.3">
      <c r="A18" t="s">
        <v>81</v>
      </c>
      <c r="B18" t="s">
        <v>93</v>
      </c>
      <c r="C18" s="4" t="s">
        <v>326</v>
      </c>
      <c r="D18" t="s">
        <v>30</v>
      </c>
      <c r="E18" t="s">
        <v>31</v>
      </c>
      <c r="F18">
        <v>4</v>
      </c>
      <c r="G18">
        <v>6511</v>
      </c>
      <c r="H18" t="s">
        <v>19</v>
      </c>
      <c r="I18" t="s">
        <v>32</v>
      </c>
      <c r="J18" t="str">
        <f t="shared" si="0"/>
        <v>Net Banking</v>
      </c>
      <c r="K18" t="s">
        <v>21</v>
      </c>
      <c r="L18">
        <f t="shared" si="2"/>
        <v>26044</v>
      </c>
      <c r="M18" t="str">
        <f t="shared" si="1"/>
        <v>18</v>
      </c>
    </row>
    <row r="19" spans="1:13" x14ac:dyDescent="0.3">
      <c r="A19" t="s">
        <v>83</v>
      </c>
      <c r="B19" t="s">
        <v>94</v>
      </c>
      <c r="C19" s="4" t="s">
        <v>327</v>
      </c>
      <c r="D19" t="s">
        <v>30</v>
      </c>
      <c r="E19" t="s">
        <v>31</v>
      </c>
      <c r="F19">
        <v>2</v>
      </c>
      <c r="G19">
        <v>2511</v>
      </c>
      <c r="H19" t="s">
        <v>35</v>
      </c>
      <c r="I19" t="s">
        <v>32</v>
      </c>
      <c r="J19" t="str">
        <f t="shared" si="0"/>
        <v>Net Banking</v>
      </c>
      <c r="K19" t="s">
        <v>21</v>
      </c>
      <c r="L19">
        <f t="shared" si="2"/>
        <v>5022</v>
      </c>
      <c r="M19" t="str">
        <f t="shared" si="1"/>
        <v>11</v>
      </c>
    </row>
    <row r="20" spans="1:13" x14ac:dyDescent="0.3">
      <c r="A20" t="s">
        <v>84</v>
      </c>
      <c r="B20" t="s">
        <v>88</v>
      </c>
      <c r="C20" s="4" t="s">
        <v>321</v>
      </c>
      <c r="D20" t="s">
        <v>36</v>
      </c>
      <c r="E20" t="s">
        <v>23</v>
      </c>
      <c r="F20">
        <v>1</v>
      </c>
      <c r="G20">
        <v>1211</v>
      </c>
      <c r="H20" t="s">
        <v>37</v>
      </c>
      <c r="I20" t="s">
        <v>32</v>
      </c>
      <c r="J20" t="str">
        <f>PROPER(TRIM(I21))</f>
        <v>Upi</v>
      </c>
      <c r="K20" t="s">
        <v>15</v>
      </c>
      <c r="L20">
        <f t="shared" si="2"/>
        <v>1211</v>
      </c>
      <c r="M20" t="str">
        <f t="shared" si="1"/>
        <v>11</v>
      </c>
    </row>
    <row r="21" spans="1:13" x14ac:dyDescent="0.3">
      <c r="A21" t="s">
        <v>95</v>
      </c>
      <c r="B21" t="s">
        <v>96</v>
      </c>
      <c r="C21" s="4" t="s">
        <v>447</v>
      </c>
      <c r="D21" t="s">
        <v>34</v>
      </c>
      <c r="E21" t="s">
        <v>11</v>
      </c>
      <c r="F21">
        <v>3</v>
      </c>
      <c r="G21">
        <v>18111</v>
      </c>
      <c r="H21" t="s">
        <v>13</v>
      </c>
      <c r="I21" t="s">
        <v>20</v>
      </c>
      <c r="J21" t="str">
        <f t="shared" si="0"/>
        <v>Upi</v>
      </c>
      <c r="K21" t="s">
        <v>18</v>
      </c>
      <c r="L21">
        <f t="shared" si="2"/>
        <v>54333</v>
      </c>
      <c r="M21" t="str">
        <f t="shared" si="1"/>
        <v>21</v>
      </c>
    </row>
    <row r="22" spans="1:13" x14ac:dyDescent="0.3">
      <c r="A22" t="s">
        <v>95</v>
      </c>
      <c r="B22" t="s">
        <v>97</v>
      </c>
      <c r="C22" s="4" t="s">
        <v>328</v>
      </c>
      <c r="D22" t="s">
        <v>10</v>
      </c>
      <c r="E22" t="s">
        <v>11</v>
      </c>
      <c r="F22">
        <v>1</v>
      </c>
      <c r="G22">
        <v>31111</v>
      </c>
      <c r="H22" t="s">
        <v>24</v>
      </c>
      <c r="I22" t="s">
        <v>32</v>
      </c>
      <c r="J22" t="str">
        <f t="shared" si="0"/>
        <v>Net Banking</v>
      </c>
      <c r="K22" t="s">
        <v>65</v>
      </c>
      <c r="L22">
        <f t="shared" si="2"/>
        <v>31111</v>
      </c>
      <c r="M22" t="str">
        <f t="shared" si="1"/>
        <v>13</v>
      </c>
    </row>
    <row r="23" spans="1:13" x14ac:dyDescent="0.3">
      <c r="A23" t="s">
        <v>98</v>
      </c>
      <c r="B23" t="s">
        <v>99</v>
      </c>
      <c r="C23" s="4" t="s">
        <v>329</v>
      </c>
      <c r="D23" t="s">
        <v>16</v>
      </c>
      <c r="E23" t="s">
        <v>11</v>
      </c>
      <c r="F23">
        <v>3</v>
      </c>
      <c r="G23">
        <v>45111</v>
      </c>
      <c r="H23" t="s">
        <v>29</v>
      </c>
      <c r="I23" t="s">
        <v>14</v>
      </c>
      <c r="J23" t="str">
        <f t="shared" si="0"/>
        <v>Credit Card</v>
      </c>
      <c r="K23" t="s">
        <v>21</v>
      </c>
      <c r="L23">
        <f t="shared" si="2"/>
        <v>135333</v>
      </c>
      <c r="M23" t="str">
        <f t="shared" si="1"/>
        <v>11</v>
      </c>
    </row>
    <row r="24" spans="1:13" x14ac:dyDescent="0.3">
      <c r="A24" t="s">
        <v>100</v>
      </c>
      <c r="B24" t="s">
        <v>101</v>
      </c>
      <c r="C24" s="4" t="s">
        <v>330</v>
      </c>
      <c r="D24" t="s">
        <v>22</v>
      </c>
      <c r="E24" t="s">
        <v>23</v>
      </c>
      <c r="F24">
        <v>4</v>
      </c>
      <c r="G24" s="5">
        <v>711</v>
      </c>
      <c r="H24" t="s">
        <v>17</v>
      </c>
      <c r="I24" t="s">
        <v>65</v>
      </c>
      <c r="J24" t="str">
        <f t="shared" si="0"/>
        <v>Unknown</v>
      </c>
      <c r="K24" t="s">
        <v>15</v>
      </c>
      <c r="L24">
        <f t="shared" si="2"/>
        <v>2844</v>
      </c>
      <c r="M24" t="str">
        <f t="shared" si="1"/>
        <v>16</v>
      </c>
    </row>
    <row r="25" spans="1:13" x14ac:dyDescent="0.3">
      <c r="A25" t="s">
        <v>102</v>
      </c>
      <c r="B25" t="s">
        <v>103</v>
      </c>
      <c r="C25" s="4" t="s">
        <v>331</v>
      </c>
      <c r="D25" t="s">
        <v>30</v>
      </c>
      <c r="E25" t="s">
        <v>31</v>
      </c>
      <c r="F25">
        <v>4</v>
      </c>
      <c r="G25">
        <v>4111</v>
      </c>
      <c r="H25" t="s">
        <v>37</v>
      </c>
      <c r="I25" t="s">
        <v>27</v>
      </c>
      <c r="J25" t="str">
        <f t="shared" si="0"/>
        <v>Debit Card</v>
      </c>
      <c r="K25" t="s">
        <v>18</v>
      </c>
      <c r="L25">
        <f t="shared" si="2"/>
        <v>16444</v>
      </c>
      <c r="M25" t="str">
        <f t="shared" si="1"/>
        <v>18</v>
      </c>
    </row>
    <row r="26" spans="1:13" x14ac:dyDescent="0.3">
      <c r="A26" t="s">
        <v>104</v>
      </c>
      <c r="B26" t="s">
        <v>105</v>
      </c>
      <c r="C26" s="4" t="s">
        <v>316</v>
      </c>
      <c r="D26" t="s">
        <v>16</v>
      </c>
      <c r="E26" t="s">
        <v>11</v>
      </c>
      <c r="F26">
        <v>3</v>
      </c>
      <c r="G26">
        <v>52111</v>
      </c>
      <c r="H26" t="s">
        <v>19</v>
      </c>
      <c r="I26" t="s">
        <v>20</v>
      </c>
      <c r="J26" t="str">
        <f t="shared" si="0"/>
        <v>Upi</v>
      </c>
      <c r="K26" t="s">
        <v>15</v>
      </c>
      <c r="L26">
        <f t="shared" si="2"/>
        <v>156333</v>
      </c>
      <c r="M26" t="str">
        <f t="shared" si="1"/>
        <v>13</v>
      </c>
    </row>
    <row r="27" spans="1:13" x14ac:dyDescent="0.3">
      <c r="A27" t="s">
        <v>106</v>
      </c>
      <c r="B27" t="s">
        <v>107</v>
      </c>
      <c r="C27" s="4" t="s">
        <v>332</v>
      </c>
      <c r="D27" t="s">
        <v>26</v>
      </c>
      <c r="E27" t="s">
        <v>11</v>
      </c>
      <c r="F27">
        <v>4</v>
      </c>
      <c r="G27">
        <v>22111</v>
      </c>
      <c r="H27" t="s">
        <v>35</v>
      </c>
      <c r="I27" t="s">
        <v>27</v>
      </c>
      <c r="J27" t="str">
        <f t="shared" si="0"/>
        <v>Debit Card</v>
      </c>
      <c r="K27" t="s">
        <v>18</v>
      </c>
      <c r="L27">
        <f t="shared" si="2"/>
        <v>88444</v>
      </c>
      <c r="M27" t="str">
        <f t="shared" si="1"/>
        <v>14</v>
      </c>
    </row>
    <row r="28" spans="1:13" x14ac:dyDescent="0.3">
      <c r="A28" t="s">
        <v>108</v>
      </c>
      <c r="B28" t="s">
        <v>109</v>
      </c>
      <c r="C28" s="4" t="s">
        <v>333</v>
      </c>
      <c r="D28" t="s">
        <v>28</v>
      </c>
      <c r="E28" t="s">
        <v>23</v>
      </c>
      <c r="F28">
        <v>2</v>
      </c>
      <c r="G28">
        <v>1211</v>
      </c>
      <c r="H28" t="s">
        <v>19</v>
      </c>
      <c r="I28" t="s">
        <v>32</v>
      </c>
      <c r="J28" t="str">
        <f t="shared" si="0"/>
        <v>Net Banking</v>
      </c>
      <c r="K28" t="s">
        <v>18</v>
      </c>
      <c r="L28">
        <f t="shared" si="2"/>
        <v>2422</v>
      </c>
      <c r="M28" t="str">
        <f t="shared" si="1"/>
        <v>11</v>
      </c>
    </row>
    <row r="29" spans="1:13" x14ac:dyDescent="0.3">
      <c r="A29" t="s">
        <v>110</v>
      </c>
      <c r="B29" t="s">
        <v>111</v>
      </c>
      <c r="C29" s="4" t="s">
        <v>334</v>
      </c>
      <c r="D29" t="s">
        <v>16</v>
      </c>
      <c r="E29" t="s">
        <v>11</v>
      </c>
      <c r="F29">
        <v>1</v>
      </c>
      <c r="G29">
        <v>61111</v>
      </c>
      <c r="H29" t="s">
        <v>13</v>
      </c>
      <c r="I29" t="s">
        <v>25</v>
      </c>
      <c r="J29" t="str">
        <f t="shared" si="0"/>
        <v>Cash</v>
      </c>
      <c r="K29" t="s">
        <v>21</v>
      </c>
      <c r="L29">
        <f t="shared" si="2"/>
        <v>61111</v>
      </c>
      <c r="M29" t="str">
        <f t="shared" si="1"/>
        <v>18</v>
      </c>
    </row>
    <row r="30" spans="1:13" x14ac:dyDescent="0.3">
      <c r="A30" t="s">
        <v>112</v>
      </c>
      <c r="B30" t="s">
        <v>113</v>
      </c>
      <c r="C30" s="4" t="s">
        <v>335</v>
      </c>
      <c r="D30" t="s">
        <v>28</v>
      </c>
      <c r="E30" t="s">
        <v>23</v>
      </c>
      <c r="F30">
        <v>0</v>
      </c>
      <c r="G30">
        <v>1811</v>
      </c>
      <c r="H30" t="s">
        <v>29</v>
      </c>
      <c r="I30" t="s">
        <v>32</v>
      </c>
      <c r="J30" t="str">
        <f>PROPER(TRIM(I31))</f>
        <v>Credit Card</v>
      </c>
      <c r="K30" t="s">
        <v>18</v>
      </c>
      <c r="L30">
        <f>F30*G30</f>
        <v>0</v>
      </c>
      <c r="M30" t="str">
        <f t="shared" si="1"/>
        <v>12</v>
      </c>
    </row>
    <row r="31" spans="1:13" x14ac:dyDescent="0.3">
      <c r="A31" t="s">
        <v>114</v>
      </c>
      <c r="B31" t="s">
        <v>113</v>
      </c>
      <c r="C31" s="4" t="s">
        <v>336</v>
      </c>
      <c r="D31" t="s">
        <v>10</v>
      </c>
      <c r="E31" t="s">
        <v>11</v>
      </c>
      <c r="F31">
        <v>3</v>
      </c>
      <c r="G31">
        <v>42111</v>
      </c>
      <c r="H31" t="s">
        <v>19</v>
      </c>
      <c r="I31" t="s">
        <v>14</v>
      </c>
      <c r="J31" t="str">
        <f t="shared" si="0"/>
        <v>Credit Card</v>
      </c>
      <c r="K31" t="s">
        <v>21</v>
      </c>
      <c r="L31">
        <f t="shared" si="2"/>
        <v>126333</v>
      </c>
      <c r="M31" t="str">
        <f t="shared" si="1"/>
        <v>18</v>
      </c>
    </row>
    <row r="32" spans="1:13" x14ac:dyDescent="0.3">
      <c r="A32" t="s">
        <v>114</v>
      </c>
      <c r="B32" t="s">
        <v>115</v>
      </c>
      <c r="C32" s="4" t="s">
        <v>337</v>
      </c>
      <c r="D32" t="s">
        <v>22</v>
      </c>
      <c r="E32" t="s">
        <v>23</v>
      </c>
      <c r="F32">
        <v>4</v>
      </c>
      <c r="G32">
        <v>711</v>
      </c>
      <c r="H32" t="s">
        <v>67</v>
      </c>
      <c r="I32" t="s">
        <v>32</v>
      </c>
      <c r="J32" t="str">
        <f t="shared" si="0"/>
        <v>Net Banking</v>
      </c>
      <c r="K32" t="s">
        <v>18</v>
      </c>
      <c r="L32">
        <f t="shared" si="2"/>
        <v>2844</v>
      </c>
      <c r="M32" t="str">
        <f t="shared" si="1"/>
        <v>18</v>
      </c>
    </row>
    <row r="33" spans="1:13" x14ac:dyDescent="0.3">
      <c r="A33" t="s">
        <v>116</v>
      </c>
      <c r="B33" t="s">
        <v>70</v>
      </c>
      <c r="C33" s="4" t="s">
        <v>338</v>
      </c>
      <c r="D33" t="s">
        <v>36</v>
      </c>
      <c r="E33" t="s">
        <v>23</v>
      </c>
      <c r="F33">
        <v>1</v>
      </c>
      <c r="G33">
        <v>1211</v>
      </c>
      <c r="H33" t="s">
        <v>37</v>
      </c>
      <c r="I33" t="s">
        <v>14</v>
      </c>
      <c r="J33" t="str">
        <f t="shared" si="0"/>
        <v>Credit Card</v>
      </c>
      <c r="K33" t="s">
        <v>18</v>
      </c>
      <c r="L33">
        <f t="shared" si="2"/>
        <v>1211</v>
      </c>
      <c r="M33" t="str">
        <f t="shared" si="1"/>
        <v>13</v>
      </c>
    </row>
    <row r="34" spans="1:13" x14ac:dyDescent="0.3">
      <c r="A34" t="s">
        <v>117</v>
      </c>
      <c r="B34" t="s">
        <v>118</v>
      </c>
      <c r="C34" s="4" t="s">
        <v>339</v>
      </c>
      <c r="D34" t="s">
        <v>10</v>
      </c>
      <c r="E34" t="s">
        <v>11</v>
      </c>
      <c r="F34">
        <v>4</v>
      </c>
      <c r="G34">
        <v>22111</v>
      </c>
      <c r="H34" t="s">
        <v>19</v>
      </c>
      <c r="I34" t="s">
        <v>14</v>
      </c>
      <c r="J34" t="str">
        <f t="shared" si="0"/>
        <v>Credit Card</v>
      </c>
      <c r="K34" t="s">
        <v>15</v>
      </c>
      <c r="L34">
        <f t="shared" si="2"/>
        <v>88444</v>
      </c>
      <c r="M34" t="str">
        <f t="shared" si="1"/>
        <v>12</v>
      </c>
    </row>
    <row r="35" spans="1:13" x14ac:dyDescent="0.3">
      <c r="A35" t="s">
        <v>119</v>
      </c>
      <c r="B35" t="s">
        <v>120</v>
      </c>
      <c r="C35" s="4" t="s">
        <v>317</v>
      </c>
      <c r="D35" t="s">
        <v>30</v>
      </c>
      <c r="E35" t="s">
        <v>31</v>
      </c>
      <c r="F35">
        <v>1</v>
      </c>
      <c r="G35">
        <v>9111</v>
      </c>
      <c r="H35" t="s">
        <v>17</v>
      </c>
      <c r="I35" t="s">
        <v>25</v>
      </c>
      <c r="J35" t="str">
        <f t="shared" si="0"/>
        <v>Cash</v>
      </c>
      <c r="K35" t="s">
        <v>18</v>
      </c>
      <c r="L35">
        <f t="shared" si="2"/>
        <v>9111</v>
      </c>
      <c r="M35" t="str">
        <f t="shared" si="1"/>
        <v>11</v>
      </c>
    </row>
    <row r="36" spans="1:13" x14ac:dyDescent="0.3">
      <c r="A36" t="s">
        <v>121</v>
      </c>
      <c r="B36" t="s">
        <v>89</v>
      </c>
      <c r="C36" s="4" t="s">
        <v>340</v>
      </c>
      <c r="D36" t="s">
        <v>22</v>
      </c>
      <c r="E36" t="s">
        <v>23</v>
      </c>
      <c r="F36">
        <v>2</v>
      </c>
      <c r="G36">
        <v>711</v>
      </c>
      <c r="H36" t="s">
        <v>29</v>
      </c>
      <c r="I36" t="s">
        <v>32</v>
      </c>
      <c r="J36" t="str">
        <f t="shared" si="0"/>
        <v>Net Banking</v>
      </c>
      <c r="K36" t="s">
        <v>15</v>
      </c>
      <c r="L36">
        <f t="shared" si="2"/>
        <v>1422</v>
      </c>
      <c r="M36" t="str">
        <f t="shared" si="1"/>
        <v>15</v>
      </c>
    </row>
    <row r="37" spans="1:13" x14ac:dyDescent="0.3">
      <c r="A37" t="s">
        <v>122</v>
      </c>
      <c r="B37" t="s">
        <v>123</v>
      </c>
      <c r="C37" s="4" t="s">
        <v>341</v>
      </c>
      <c r="D37" t="s">
        <v>36</v>
      </c>
      <c r="E37" t="s">
        <v>23</v>
      </c>
      <c r="F37">
        <v>2</v>
      </c>
      <c r="G37">
        <v>1811</v>
      </c>
      <c r="H37" t="s">
        <v>35</v>
      </c>
      <c r="I37" t="s">
        <v>25</v>
      </c>
      <c r="J37" t="str">
        <f t="shared" si="0"/>
        <v>Cash</v>
      </c>
      <c r="K37" t="s">
        <v>15</v>
      </c>
      <c r="L37">
        <f t="shared" si="2"/>
        <v>3622</v>
      </c>
      <c r="M37" t="str">
        <f t="shared" si="1"/>
        <v>16</v>
      </c>
    </row>
    <row r="38" spans="1:13" x14ac:dyDescent="0.3">
      <c r="A38" t="s">
        <v>124</v>
      </c>
      <c r="B38" t="s">
        <v>125</v>
      </c>
      <c r="C38" s="4" t="s">
        <v>342</v>
      </c>
      <c r="D38" t="s">
        <v>28</v>
      </c>
      <c r="E38" t="s">
        <v>23</v>
      </c>
      <c r="F38">
        <v>4</v>
      </c>
      <c r="G38">
        <v>1211</v>
      </c>
      <c r="H38" t="s">
        <v>67</v>
      </c>
      <c r="I38" t="s">
        <v>25</v>
      </c>
      <c r="J38" t="str">
        <f t="shared" si="0"/>
        <v>Cash</v>
      </c>
      <c r="K38" t="s">
        <v>15</v>
      </c>
      <c r="L38">
        <f t="shared" si="2"/>
        <v>4844</v>
      </c>
      <c r="M38" t="str">
        <f t="shared" si="1"/>
        <v>18</v>
      </c>
    </row>
    <row r="39" spans="1:13" x14ac:dyDescent="0.3">
      <c r="A39" t="s">
        <v>126</v>
      </c>
      <c r="B39" t="s">
        <v>127</v>
      </c>
      <c r="C39" s="4" t="s">
        <v>338</v>
      </c>
      <c r="D39" t="s">
        <v>22</v>
      </c>
      <c r="E39" t="s">
        <v>23</v>
      </c>
      <c r="F39">
        <v>4</v>
      </c>
      <c r="G39">
        <v>1111</v>
      </c>
      <c r="H39" t="s">
        <v>37</v>
      </c>
      <c r="I39" t="s">
        <v>25</v>
      </c>
      <c r="J39" t="str">
        <f t="shared" si="0"/>
        <v>Cash</v>
      </c>
      <c r="K39" t="s">
        <v>21</v>
      </c>
      <c r="L39">
        <f t="shared" si="2"/>
        <v>4444</v>
      </c>
      <c r="M39" t="str">
        <f t="shared" si="1"/>
        <v>13</v>
      </c>
    </row>
    <row r="40" spans="1:13" x14ac:dyDescent="0.3">
      <c r="A40" t="s">
        <v>128</v>
      </c>
      <c r="B40" t="s">
        <v>129</v>
      </c>
      <c r="C40" s="4" t="s">
        <v>324</v>
      </c>
      <c r="D40" t="s">
        <v>16</v>
      </c>
      <c r="E40" t="s">
        <v>11</v>
      </c>
      <c r="F40">
        <v>1</v>
      </c>
      <c r="G40">
        <v>68111</v>
      </c>
      <c r="H40" t="s">
        <v>29</v>
      </c>
      <c r="I40" t="s">
        <v>27</v>
      </c>
      <c r="J40" t="str">
        <f>PROPER(TRIM(I41))</f>
        <v>Upi</v>
      </c>
      <c r="K40" t="s">
        <v>18</v>
      </c>
      <c r="L40">
        <f t="shared" si="2"/>
        <v>68111</v>
      </c>
      <c r="M40" t="str">
        <f t="shared" si="1"/>
        <v>14</v>
      </c>
    </row>
    <row r="41" spans="1:13" x14ac:dyDescent="0.3">
      <c r="A41" t="s">
        <v>130</v>
      </c>
      <c r="B41" t="s">
        <v>131</v>
      </c>
      <c r="C41" s="4" t="s">
        <v>343</v>
      </c>
      <c r="D41" t="s">
        <v>22</v>
      </c>
      <c r="E41" t="s">
        <v>23</v>
      </c>
      <c r="F41">
        <v>4</v>
      </c>
      <c r="G41">
        <v>1111</v>
      </c>
      <c r="H41" t="s">
        <v>37</v>
      </c>
      <c r="I41" t="s">
        <v>20</v>
      </c>
      <c r="J41" t="str">
        <f t="shared" si="0"/>
        <v>Upi</v>
      </c>
      <c r="K41" t="s">
        <v>15</v>
      </c>
      <c r="L41">
        <f t="shared" si="2"/>
        <v>4444</v>
      </c>
      <c r="M41" t="str">
        <f t="shared" si="1"/>
        <v>11</v>
      </c>
    </row>
    <row r="42" spans="1:13" x14ac:dyDescent="0.3">
      <c r="A42" t="s">
        <v>130</v>
      </c>
      <c r="B42" t="s">
        <v>132</v>
      </c>
      <c r="C42" s="4" t="s">
        <v>344</v>
      </c>
      <c r="D42" t="s">
        <v>28</v>
      </c>
      <c r="E42" t="s">
        <v>23</v>
      </c>
      <c r="F42">
        <v>1</v>
      </c>
      <c r="G42">
        <v>1211</v>
      </c>
      <c r="H42" t="s">
        <v>29</v>
      </c>
      <c r="I42" t="s">
        <v>14</v>
      </c>
      <c r="J42" t="str">
        <f t="shared" si="0"/>
        <v>Credit Card</v>
      </c>
      <c r="K42" t="s">
        <v>21</v>
      </c>
      <c r="L42">
        <f t="shared" si="2"/>
        <v>1211</v>
      </c>
      <c r="M42" t="str">
        <f t="shared" si="1"/>
        <v>12</v>
      </c>
    </row>
    <row r="43" spans="1:13" x14ac:dyDescent="0.3">
      <c r="A43" t="s">
        <v>133</v>
      </c>
      <c r="B43" t="s">
        <v>134</v>
      </c>
      <c r="C43" s="4" t="s">
        <v>345</v>
      </c>
      <c r="D43" t="s">
        <v>10</v>
      </c>
      <c r="E43" t="s">
        <v>11</v>
      </c>
      <c r="F43">
        <v>2</v>
      </c>
      <c r="G43">
        <v>15111</v>
      </c>
      <c r="H43" t="s">
        <v>67</v>
      </c>
      <c r="I43" t="s">
        <v>20</v>
      </c>
      <c r="J43" t="str">
        <f t="shared" si="0"/>
        <v>Upi</v>
      </c>
      <c r="K43" t="s">
        <v>21</v>
      </c>
      <c r="L43">
        <f t="shared" si="2"/>
        <v>30222</v>
      </c>
      <c r="M43" t="str">
        <f t="shared" si="1"/>
        <v>12</v>
      </c>
    </row>
    <row r="44" spans="1:13" x14ac:dyDescent="0.3">
      <c r="A44" t="s">
        <v>135</v>
      </c>
      <c r="B44" t="s">
        <v>136</v>
      </c>
      <c r="C44" s="4" t="s">
        <v>336</v>
      </c>
      <c r="D44" t="s">
        <v>22</v>
      </c>
      <c r="E44" t="s">
        <v>23</v>
      </c>
      <c r="F44">
        <v>1</v>
      </c>
      <c r="G44">
        <v>711</v>
      </c>
      <c r="H44" t="s">
        <v>13</v>
      </c>
      <c r="I44" t="s">
        <v>25</v>
      </c>
      <c r="J44" t="str">
        <f t="shared" si="0"/>
        <v>Cash</v>
      </c>
      <c r="K44" t="s">
        <v>18</v>
      </c>
      <c r="L44">
        <f t="shared" si="2"/>
        <v>711</v>
      </c>
      <c r="M44" t="str">
        <f t="shared" si="1"/>
        <v>18</v>
      </c>
    </row>
    <row r="45" spans="1:13" x14ac:dyDescent="0.3">
      <c r="A45" t="s">
        <v>137</v>
      </c>
      <c r="B45" t="s">
        <v>138</v>
      </c>
      <c r="C45" s="4" t="s">
        <v>346</v>
      </c>
      <c r="D45" t="s">
        <v>30</v>
      </c>
      <c r="E45" t="s">
        <v>31</v>
      </c>
      <c r="F45">
        <v>2</v>
      </c>
      <c r="G45">
        <v>9111</v>
      </c>
      <c r="H45" t="s">
        <v>64</v>
      </c>
      <c r="I45" t="s">
        <v>14</v>
      </c>
      <c r="J45" t="str">
        <f t="shared" si="0"/>
        <v>Credit Card</v>
      </c>
      <c r="K45" t="s">
        <v>15</v>
      </c>
      <c r="L45">
        <f t="shared" si="2"/>
        <v>18222</v>
      </c>
      <c r="M45" t="str">
        <f t="shared" si="1"/>
        <v>11</v>
      </c>
    </row>
    <row r="46" spans="1:13" x14ac:dyDescent="0.3">
      <c r="A46" t="s">
        <v>139</v>
      </c>
      <c r="B46" t="s">
        <v>140</v>
      </c>
      <c r="C46" s="4" t="s">
        <v>347</v>
      </c>
      <c r="D46" t="s">
        <v>22</v>
      </c>
      <c r="E46" t="s">
        <v>23</v>
      </c>
      <c r="F46">
        <v>4</v>
      </c>
      <c r="G46">
        <v>411</v>
      </c>
      <c r="H46" t="s">
        <v>29</v>
      </c>
      <c r="I46" t="s">
        <v>27</v>
      </c>
      <c r="J46" t="str">
        <f t="shared" si="0"/>
        <v>Debit Card</v>
      </c>
      <c r="K46" t="s">
        <v>18</v>
      </c>
      <c r="L46">
        <f t="shared" si="2"/>
        <v>1644</v>
      </c>
      <c r="M46" t="str">
        <f t="shared" si="1"/>
        <v>19</v>
      </c>
    </row>
    <row r="47" spans="1:13" x14ac:dyDescent="0.3">
      <c r="A47" t="s">
        <v>141</v>
      </c>
      <c r="B47" t="s">
        <v>78</v>
      </c>
      <c r="C47" s="4" t="s">
        <v>315</v>
      </c>
      <c r="D47" t="s">
        <v>22</v>
      </c>
      <c r="E47" t="s">
        <v>23</v>
      </c>
      <c r="F47">
        <v>3</v>
      </c>
      <c r="G47">
        <v>1111</v>
      </c>
      <c r="H47" t="s">
        <v>35</v>
      </c>
      <c r="I47" t="s">
        <v>25</v>
      </c>
      <c r="J47" t="str">
        <f t="shared" si="0"/>
        <v>Cash</v>
      </c>
      <c r="K47" t="s">
        <v>15</v>
      </c>
      <c r="L47">
        <f t="shared" si="2"/>
        <v>3333</v>
      </c>
      <c r="M47" t="str">
        <f t="shared" si="1"/>
        <v>12</v>
      </c>
    </row>
    <row r="48" spans="1:13" x14ac:dyDescent="0.3">
      <c r="A48" t="s">
        <v>142</v>
      </c>
      <c r="B48" t="s">
        <v>143</v>
      </c>
      <c r="C48" s="4" t="s">
        <v>348</v>
      </c>
      <c r="D48" t="s">
        <v>10</v>
      </c>
      <c r="E48" t="s">
        <v>11</v>
      </c>
      <c r="F48">
        <v>3</v>
      </c>
      <c r="G48">
        <v>42111</v>
      </c>
      <c r="H48" t="s">
        <v>29</v>
      </c>
      <c r="I48" t="s">
        <v>27</v>
      </c>
      <c r="J48" t="str">
        <f t="shared" si="0"/>
        <v>Debit Card</v>
      </c>
      <c r="K48" t="s">
        <v>21</v>
      </c>
      <c r="L48">
        <f t="shared" si="2"/>
        <v>126333</v>
      </c>
      <c r="M48" t="str">
        <f t="shared" si="1"/>
        <v>18</v>
      </c>
    </row>
    <row r="49" spans="1:13" x14ac:dyDescent="0.3">
      <c r="A49" t="s">
        <v>144</v>
      </c>
      <c r="B49" t="s">
        <v>85</v>
      </c>
      <c r="C49" s="4" t="s">
        <v>314</v>
      </c>
      <c r="D49" t="s">
        <v>30</v>
      </c>
      <c r="E49" t="s">
        <v>31</v>
      </c>
      <c r="F49">
        <v>3</v>
      </c>
      <c r="G49">
        <v>2511</v>
      </c>
      <c r="H49" t="s">
        <v>17</v>
      </c>
      <c r="I49" t="s">
        <v>14</v>
      </c>
      <c r="J49" t="str">
        <f t="shared" si="0"/>
        <v>Credit Card</v>
      </c>
      <c r="K49" t="s">
        <v>15</v>
      </c>
      <c r="L49">
        <f t="shared" si="2"/>
        <v>7533</v>
      </c>
      <c r="M49" t="str">
        <f t="shared" si="1"/>
        <v>11</v>
      </c>
    </row>
    <row r="50" spans="1:13" x14ac:dyDescent="0.3">
      <c r="A50" t="s">
        <v>145</v>
      </c>
      <c r="B50" t="s">
        <v>146</v>
      </c>
      <c r="C50" s="4" t="s">
        <v>317</v>
      </c>
      <c r="D50" t="s">
        <v>30</v>
      </c>
      <c r="E50" t="s">
        <v>31</v>
      </c>
      <c r="F50">
        <v>3</v>
      </c>
      <c r="G50">
        <v>6511</v>
      </c>
      <c r="H50" t="s">
        <v>17</v>
      </c>
      <c r="I50" t="s">
        <v>27</v>
      </c>
      <c r="J50" t="str">
        <f>PROPER(TRIM(I51))</f>
        <v>Upi</v>
      </c>
      <c r="K50" t="s">
        <v>15</v>
      </c>
      <c r="L50">
        <f t="shared" si="2"/>
        <v>19533</v>
      </c>
      <c r="M50" t="str">
        <f t="shared" si="1"/>
        <v>11</v>
      </c>
    </row>
    <row r="51" spans="1:13" x14ac:dyDescent="0.3">
      <c r="A51" t="s">
        <v>147</v>
      </c>
      <c r="B51" t="s">
        <v>148</v>
      </c>
      <c r="C51" s="4" t="s">
        <v>336</v>
      </c>
      <c r="D51" t="s">
        <v>16</v>
      </c>
      <c r="E51" t="s">
        <v>11</v>
      </c>
      <c r="F51">
        <v>3</v>
      </c>
      <c r="G51">
        <v>52111</v>
      </c>
      <c r="H51" t="s">
        <v>17</v>
      </c>
      <c r="I51" t="s">
        <v>20</v>
      </c>
      <c r="J51" t="str">
        <f t="shared" si="0"/>
        <v>Upi</v>
      </c>
      <c r="K51" t="s">
        <v>18</v>
      </c>
      <c r="L51">
        <f t="shared" si="2"/>
        <v>156333</v>
      </c>
      <c r="M51" t="str">
        <f t="shared" si="1"/>
        <v>18</v>
      </c>
    </row>
    <row r="52" spans="1:13" x14ac:dyDescent="0.3">
      <c r="A52" t="s">
        <v>147</v>
      </c>
      <c r="B52" t="s">
        <v>149</v>
      </c>
      <c r="C52" s="4" t="s">
        <v>329</v>
      </c>
      <c r="D52" t="s">
        <v>30</v>
      </c>
      <c r="E52" t="s">
        <v>31</v>
      </c>
      <c r="F52">
        <v>1</v>
      </c>
      <c r="G52">
        <v>4111</v>
      </c>
      <c r="H52" t="s">
        <v>13</v>
      </c>
      <c r="I52" t="s">
        <v>14</v>
      </c>
      <c r="J52" t="str">
        <f t="shared" si="0"/>
        <v>Credit Card</v>
      </c>
      <c r="K52" t="s">
        <v>15</v>
      </c>
      <c r="L52">
        <f t="shared" si="2"/>
        <v>4111</v>
      </c>
      <c r="M52" t="str">
        <f t="shared" si="1"/>
        <v>11</v>
      </c>
    </row>
    <row r="53" spans="1:13" x14ac:dyDescent="0.3">
      <c r="A53" t="s">
        <v>150</v>
      </c>
      <c r="B53" t="s">
        <v>151</v>
      </c>
      <c r="C53" s="4" t="s">
        <v>321</v>
      </c>
      <c r="D53" t="s">
        <v>34</v>
      </c>
      <c r="E53" t="s">
        <v>11</v>
      </c>
      <c r="F53">
        <v>2</v>
      </c>
      <c r="G53">
        <v>25111</v>
      </c>
      <c r="H53" t="s">
        <v>13</v>
      </c>
      <c r="I53" t="s">
        <v>14</v>
      </c>
      <c r="J53" t="str">
        <f t="shared" si="0"/>
        <v>Credit Card</v>
      </c>
      <c r="K53" t="s">
        <v>21</v>
      </c>
      <c r="L53">
        <f t="shared" si="2"/>
        <v>50222</v>
      </c>
      <c r="M53" t="str">
        <f t="shared" si="1"/>
        <v>11</v>
      </c>
    </row>
    <row r="54" spans="1:13" x14ac:dyDescent="0.3">
      <c r="A54" t="s">
        <v>152</v>
      </c>
      <c r="B54" t="s">
        <v>120</v>
      </c>
      <c r="C54" s="4" t="s">
        <v>349</v>
      </c>
      <c r="D54" t="s">
        <v>28</v>
      </c>
      <c r="E54" t="s">
        <v>23</v>
      </c>
      <c r="F54">
        <v>3</v>
      </c>
      <c r="G54">
        <v>711</v>
      </c>
      <c r="H54" t="s">
        <v>35</v>
      </c>
      <c r="I54" t="s">
        <v>27</v>
      </c>
      <c r="J54" t="str">
        <f t="shared" si="0"/>
        <v>Debit Card</v>
      </c>
      <c r="K54" t="s">
        <v>15</v>
      </c>
      <c r="L54">
        <f t="shared" si="2"/>
        <v>2133</v>
      </c>
      <c r="M54" t="str">
        <f t="shared" si="1"/>
        <v>17</v>
      </c>
    </row>
    <row r="55" spans="1:13" x14ac:dyDescent="0.3">
      <c r="A55" t="s">
        <v>153</v>
      </c>
      <c r="B55" t="s">
        <v>123</v>
      </c>
      <c r="C55" s="4" t="s">
        <v>350</v>
      </c>
      <c r="D55" t="s">
        <v>28</v>
      </c>
      <c r="E55" t="s">
        <v>23</v>
      </c>
      <c r="F55">
        <v>3</v>
      </c>
      <c r="G55">
        <v>1811</v>
      </c>
      <c r="H55" t="s">
        <v>67</v>
      </c>
      <c r="I55" t="s">
        <v>14</v>
      </c>
      <c r="J55" t="str">
        <f t="shared" si="0"/>
        <v>Credit Card</v>
      </c>
      <c r="K55" t="s">
        <v>18</v>
      </c>
      <c r="L55">
        <f t="shared" si="2"/>
        <v>5433</v>
      </c>
      <c r="M55" t="str">
        <f t="shared" si="1"/>
        <v>12</v>
      </c>
    </row>
    <row r="56" spans="1:13" x14ac:dyDescent="0.3">
      <c r="A56" t="s">
        <v>154</v>
      </c>
      <c r="B56" t="s">
        <v>155</v>
      </c>
      <c r="C56" s="4" t="s">
        <v>351</v>
      </c>
      <c r="D56" t="s">
        <v>36</v>
      </c>
      <c r="E56" t="s">
        <v>23</v>
      </c>
      <c r="F56">
        <v>1</v>
      </c>
      <c r="G56">
        <v>2511</v>
      </c>
      <c r="H56" t="s">
        <v>24</v>
      </c>
      <c r="I56" t="s">
        <v>25</v>
      </c>
      <c r="J56" t="str">
        <f t="shared" si="0"/>
        <v>Cash</v>
      </c>
      <c r="K56" t="s">
        <v>18</v>
      </c>
      <c r="L56">
        <f t="shared" si="2"/>
        <v>2511</v>
      </c>
      <c r="M56" t="str">
        <f t="shared" si="1"/>
        <v>18</v>
      </c>
    </row>
    <row r="57" spans="1:13" x14ac:dyDescent="0.3">
      <c r="A57" t="s">
        <v>156</v>
      </c>
      <c r="B57" t="s">
        <v>115</v>
      </c>
      <c r="C57" s="4" t="s">
        <v>352</v>
      </c>
      <c r="D57" t="s">
        <v>10</v>
      </c>
      <c r="E57" t="s">
        <v>31</v>
      </c>
      <c r="F57">
        <v>4</v>
      </c>
      <c r="G57">
        <v>2511</v>
      </c>
      <c r="H57" t="s">
        <v>37</v>
      </c>
      <c r="I57" t="s">
        <v>27</v>
      </c>
      <c r="J57" t="str">
        <f t="shared" si="0"/>
        <v>Debit Card</v>
      </c>
      <c r="K57" t="s">
        <v>21</v>
      </c>
      <c r="L57">
        <f t="shared" si="2"/>
        <v>10044</v>
      </c>
      <c r="M57" t="str">
        <f t="shared" si="1"/>
        <v>14</v>
      </c>
    </row>
    <row r="58" spans="1:13" x14ac:dyDescent="0.3">
      <c r="A58" t="s">
        <v>157</v>
      </c>
      <c r="B58" t="s">
        <v>158</v>
      </c>
      <c r="C58" s="4" t="s">
        <v>353</v>
      </c>
      <c r="D58" t="s">
        <v>16</v>
      </c>
      <c r="E58" t="s">
        <v>11</v>
      </c>
      <c r="F58">
        <v>2</v>
      </c>
      <c r="G58">
        <v>68111</v>
      </c>
      <c r="H58" t="s">
        <v>19</v>
      </c>
      <c r="I58" t="s">
        <v>27</v>
      </c>
      <c r="J58" t="str">
        <f t="shared" si="0"/>
        <v>Debit Card</v>
      </c>
      <c r="K58" t="s">
        <v>18</v>
      </c>
      <c r="L58">
        <f t="shared" si="2"/>
        <v>136222</v>
      </c>
      <c r="M58" t="str">
        <f t="shared" si="1"/>
        <v>18</v>
      </c>
    </row>
    <row r="59" spans="1:13" x14ac:dyDescent="0.3">
      <c r="A59" t="s">
        <v>159</v>
      </c>
      <c r="B59" t="s">
        <v>96</v>
      </c>
      <c r="C59" s="4" t="s">
        <v>335</v>
      </c>
      <c r="D59" t="s">
        <v>10</v>
      </c>
      <c r="E59" t="s">
        <v>11</v>
      </c>
      <c r="F59">
        <v>1</v>
      </c>
      <c r="G59">
        <v>42111</v>
      </c>
      <c r="H59" t="s">
        <v>24</v>
      </c>
      <c r="I59" t="s">
        <v>27</v>
      </c>
      <c r="J59" t="str">
        <f t="shared" si="0"/>
        <v>Debit Card</v>
      </c>
      <c r="K59" t="s">
        <v>15</v>
      </c>
      <c r="L59">
        <f t="shared" si="2"/>
        <v>42111</v>
      </c>
      <c r="M59" t="str">
        <f t="shared" si="1"/>
        <v>12</v>
      </c>
    </row>
    <row r="60" spans="1:13" x14ac:dyDescent="0.3">
      <c r="A60" t="s">
        <v>160</v>
      </c>
      <c r="B60" t="s">
        <v>99</v>
      </c>
      <c r="C60" s="4" t="s">
        <v>354</v>
      </c>
      <c r="D60" t="s">
        <v>34</v>
      </c>
      <c r="E60" t="s">
        <v>11</v>
      </c>
      <c r="F60">
        <v>1</v>
      </c>
      <c r="G60">
        <v>35111</v>
      </c>
      <c r="H60" t="s">
        <v>65</v>
      </c>
      <c r="I60" t="s">
        <v>32</v>
      </c>
      <c r="J60" t="str">
        <f>PROPER(TRIM(I61))</f>
        <v>Upi</v>
      </c>
      <c r="K60" t="s">
        <v>15</v>
      </c>
      <c r="L60">
        <f t="shared" si="2"/>
        <v>35111</v>
      </c>
      <c r="M60" t="str">
        <f t="shared" si="1"/>
        <v>11</v>
      </c>
    </row>
    <row r="61" spans="1:13" x14ac:dyDescent="0.3">
      <c r="A61" t="s">
        <v>161</v>
      </c>
      <c r="B61" t="s">
        <v>162</v>
      </c>
      <c r="C61" s="4" t="s">
        <v>320</v>
      </c>
      <c r="D61" t="s">
        <v>22</v>
      </c>
      <c r="E61" t="s">
        <v>23</v>
      </c>
      <c r="F61">
        <v>4</v>
      </c>
      <c r="G61">
        <v>1111</v>
      </c>
      <c r="H61" t="s">
        <v>19</v>
      </c>
      <c r="I61" t="s">
        <v>20</v>
      </c>
      <c r="J61" t="str">
        <f t="shared" si="0"/>
        <v>Upi</v>
      </c>
      <c r="K61" t="s">
        <v>15</v>
      </c>
      <c r="L61">
        <f t="shared" si="2"/>
        <v>4444</v>
      </c>
      <c r="M61" t="str">
        <f t="shared" si="1"/>
        <v>11</v>
      </c>
    </row>
    <row r="62" spans="1:13" x14ac:dyDescent="0.3">
      <c r="A62" t="s">
        <v>161</v>
      </c>
      <c r="B62" t="s">
        <v>88</v>
      </c>
      <c r="C62" s="4" t="s">
        <v>448</v>
      </c>
      <c r="D62" t="s">
        <v>10</v>
      </c>
      <c r="E62" t="s">
        <v>11</v>
      </c>
      <c r="F62">
        <v>4</v>
      </c>
      <c r="G62">
        <v>22111</v>
      </c>
      <c r="H62" t="s">
        <v>65</v>
      </c>
      <c r="I62" t="s">
        <v>32</v>
      </c>
      <c r="J62" t="str">
        <f t="shared" si="0"/>
        <v>Net Banking</v>
      </c>
      <c r="K62" t="s">
        <v>15</v>
      </c>
      <c r="L62">
        <f t="shared" si="2"/>
        <v>88444</v>
      </c>
      <c r="M62" t="str">
        <f t="shared" si="1"/>
        <v>25</v>
      </c>
    </row>
    <row r="63" spans="1:13" x14ac:dyDescent="0.3">
      <c r="A63" t="s">
        <v>163</v>
      </c>
      <c r="B63" t="s">
        <v>134</v>
      </c>
      <c r="C63" s="4" t="s">
        <v>355</v>
      </c>
      <c r="D63" t="s">
        <v>34</v>
      </c>
      <c r="E63" t="s">
        <v>11</v>
      </c>
      <c r="F63">
        <v>2</v>
      </c>
      <c r="G63">
        <v>12111</v>
      </c>
      <c r="H63" t="s">
        <v>35</v>
      </c>
      <c r="I63" t="s">
        <v>14</v>
      </c>
      <c r="J63" t="str">
        <f t="shared" si="0"/>
        <v>Credit Card</v>
      </c>
      <c r="K63" t="s">
        <v>18</v>
      </c>
      <c r="L63">
        <f t="shared" si="2"/>
        <v>24222</v>
      </c>
      <c r="M63" t="str">
        <f t="shared" si="1"/>
        <v>16</v>
      </c>
    </row>
    <row r="64" spans="1:13" x14ac:dyDescent="0.3">
      <c r="A64" t="s">
        <v>164</v>
      </c>
      <c r="B64" t="s">
        <v>74</v>
      </c>
      <c r="C64" s="4" t="s">
        <v>356</v>
      </c>
      <c r="D64" t="s">
        <v>30</v>
      </c>
      <c r="E64" t="s">
        <v>31</v>
      </c>
      <c r="F64">
        <v>3</v>
      </c>
      <c r="G64">
        <v>4111</v>
      </c>
      <c r="H64" t="s">
        <v>29</v>
      </c>
      <c r="I64" t="s">
        <v>25</v>
      </c>
      <c r="J64" t="str">
        <f t="shared" si="0"/>
        <v>Cash</v>
      </c>
      <c r="K64" t="s">
        <v>21</v>
      </c>
      <c r="L64">
        <f t="shared" si="2"/>
        <v>12333</v>
      </c>
      <c r="M64" t="str">
        <f t="shared" si="1"/>
        <v>17</v>
      </c>
    </row>
    <row r="65" spans="1:13" x14ac:dyDescent="0.3">
      <c r="A65" t="s">
        <v>165</v>
      </c>
      <c r="B65" t="s">
        <v>166</v>
      </c>
      <c r="C65" s="4" t="s">
        <v>315</v>
      </c>
      <c r="D65" t="s">
        <v>34</v>
      </c>
      <c r="E65" t="s">
        <v>11</v>
      </c>
      <c r="F65">
        <v>4</v>
      </c>
      <c r="G65">
        <v>12111</v>
      </c>
      <c r="H65" t="s">
        <v>35</v>
      </c>
      <c r="I65" t="s">
        <v>20</v>
      </c>
      <c r="J65" t="str">
        <f t="shared" si="0"/>
        <v>Upi</v>
      </c>
      <c r="K65" t="s">
        <v>21</v>
      </c>
      <c r="L65">
        <f t="shared" si="2"/>
        <v>48444</v>
      </c>
      <c r="M65" t="str">
        <f t="shared" si="1"/>
        <v>12</v>
      </c>
    </row>
    <row r="66" spans="1:13" x14ac:dyDescent="0.3">
      <c r="A66" t="s">
        <v>167</v>
      </c>
      <c r="B66" t="s">
        <v>125</v>
      </c>
      <c r="C66" s="4" t="s">
        <v>357</v>
      </c>
      <c r="D66" t="s">
        <v>36</v>
      </c>
      <c r="E66" t="s">
        <v>23</v>
      </c>
      <c r="F66">
        <v>4</v>
      </c>
      <c r="G66">
        <v>3511</v>
      </c>
      <c r="H66" t="s">
        <v>19</v>
      </c>
      <c r="I66" t="s">
        <v>27</v>
      </c>
      <c r="J66" t="str">
        <f t="shared" ref="J66:J129" si="3">PROPER(TRIM(I66))</f>
        <v>Debit Card</v>
      </c>
      <c r="K66" t="s">
        <v>21</v>
      </c>
      <c r="L66">
        <f t="shared" ref="L66:L129" si="4">F66*G66</f>
        <v>14044</v>
      </c>
      <c r="M66" t="str">
        <f t="shared" ref="M66:M129" si="5">IFERROR(MID(C66,4,2),"")</f>
        <v>12</v>
      </c>
    </row>
    <row r="67" spans="1:13" x14ac:dyDescent="0.3">
      <c r="A67" t="s">
        <v>168</v>
      </c>
      <c r="B67" t="s">
        <v>146</v>
      </c>
      <c r="C67" s="4" t="s">
        <v>358</v>
      </c>
      <c r="D67" t="s">
        <v>30</v>
      </c>
      <c r="E67" t="s">
        <v>31</v>
      </c>
      <c r="F67">
        <v>1</v>
      </c>
      <c r="G67">
        <v>2511</v>
      </c>
      <c r="H67" t="s">
        <v>13</v>
      </c>
      <c r="I67" t="s">
        <v>65</v>
      </c>
      <c r="J67" t="str">
        <f t="shared" si="3"/>
        <v>Unknown</v>
      </c>
      <c r="K67" t="s">
        <v>15</v>
      </c>
      <c r="L67">
        <f t="shared" si="4"/>
        <v>2511</v>
      </c>
      <c r="M67" t="str">
        <f t="shared" si="5"/>
        <v>11</v>
      </c>
    </row>
    <row r="68" spans="1:13" x14ac:dyDescent="0.3">
      <c r="A68" t="s">
        <v>169</v>
      </c>
      <c r="B68" t="s">
        <v>166</v>
      </c>
      <c r="C68" s="4" t="s">
        <v>359</v>
      </c>
      <c r="D68" t="s">
        <v>22</v>
      </c>
      <c r="E68" t="s">
        <v>23</v>
      </c>
      <c r="F68" t="s">
        <v>12</v>
      </c>
      <c r="G68">
        <v>711</v>
      </c>
      <c r="H68" t="s">
        <v>19</v>
      </c>
      <c r="I68" t="s">
        <v>32</v>
      </c>
      <c r="J68" t="str">
        <f t="shared" si="3"/>
        <v>Net Banking</v>
      </c>
      <c r="K68" t="s">
        <v>21</v>
      </c>
      <c r="L68">
        <f t="shared" si="4"/>
        <v>711</v>
      </c>
      <c r="M68" t="str">
        <f t="shared" si="5"/>
        <v>15</v>
      </c>
    </row>
    <row r="69" spans="1:13" x14ac:dyDescent="0.3">
      <c r="A69" t="s">
        <v>170</v>
      </c>
      <c r="B69" t="s">
        <v>78</v>
      </c>
      <c r="C69" s="4" t="s">
        <v>360</v>
      </c>
      <c r="D69" t="s">
        <v>36</v>
      </c>
      <c r="E69" t="s">
        <v>23</v>
      </c>
      <c r="F69">
        <v>2</v>
      </c>
      <c r="G69">
        <v>3511</v>
      </c>
      <c r="H69" t="s">
        <v>24</v>
      </c>
      <c r="I69" t="s">
        <v>25</v>
      </c>
      <c r="J69" t="str">
        <f t="shared" si="3"/>
        <v>Cash</v>
      </c>
      <c r="K69" t="s">
        <v>18</v>
      </c>
      <c r="L69">
        <f t="shared" si="4"/>
        <v>7022</v>
      </c>
      <c r="M69" t="str">
        <f t="shared" si="5"/>
        <v>14</v>
      </c>
    </row>
    <row r="70" spans="1:13" x14ac:dyDescent="0.3">
      <c r="A70" t="s">
        <v>171</v>
      </c>
      <c r="B70" t="s">
        <v>149</v>
      </c>
      <c r="C70" s="4" t="s">
        <v>361</v>
      </c>
      <c r="D70" t="s">
        <v>16</v>
      </c>
      <c r="E70" t="s">
        <v>11</v>
      </c>
      <c r="F70">
        <v>4</v>
      </c>
      <c r="G70">
        <v>61111</v>
      </c>
      <c r="H70" t="s">
        <v>67</v>
      </c>
      <c r="I70" t="s">
        <v>25</v>
      </c>
      <c r="J70" t="str">
        <f>PROPER(TRIM(I71))</f>
        <v>Net Banking</v>
      </c>
      <c r="K70" t="s">
        <v>65</v>
      </c>
      <c r="L70">
        <f t="shared" si="4"/>
        <v>244444</v>
      </c>
      <c r="M70" t="str">
        <f t="shared" si="5"/>
        <v>18</v>
      </c>
    </row>
    <row r="71" spans="1:13" x14ac:dyDescent="0.3">
      <c r="A71" t="s">
        <v>172</v>
      </c>
      <c r="B71" t="s">
        <v>173</v>
      </c>
      <c r="C71" s="4" t="s">
        <v>362</v>
      </c>
      <c r="D71" t="s">
        <v>10</v>
      </c>
      <c r="E71" t="s">
        <v>11</v>
      </c>
      <c r="F71">
        <v>2</v>
      </c>
      <c r="G71">
        <v>31111</v>
      </c>
      <c r="H71" t="s">
        <v>37</v>
      </c>
      <c r="I71" t="s">
        <v>32</v>
      </c>
      <c r="J71" t="str">
        <f t="shared" si="3"/>
        <v>Net Banking</v>
      </c>
      <c r="K71" t="s">
        <v>21</v>
      </c>
      <c r="L71">
        <f t="shared" si="4"/>
        <v>62222</v>
      </c>
      <c r="M71" t="str">
        <f t="shared" si="5"/>
        <v>11</v>
      </c>
    </row>
    <row r="72" spans="1:13" x14ac:dyDescent="0.3">
      <c r="A72" t="s">
        <v>172</v>
      </c>
      <c r="B72" t="s">
        <v>174</v>
      </c>
      <c r="C72" s="4" t="s">
        <v>317</v>
      </c>
      <c r="D72" t="s">
        <v>30</v>
      </c>
      <c r="E72" t="s">
        <v>31</v>
      </c>
      <c r="F72">
        <v>3</v>
      </c>
      <c r="G72">
        <v>2511</v>
      </c>
      <c r="H72" t="s">
        <v>37</v>
      </c>
      <c r="I72" t="s">
        <v>27</v>
      </c>
      <c r="J72" t="str">
        <f t="shared" si="3"/>
        <v>Debit Card</v>
      </c>
      <c r="K72" t="s">
        <v>18</v>
      </c>
      <c r="L72">
        <f t="shared" si="4"/>
        <v>7533</v>
      </c>
      <c r="M72" t="str">
        <f t="shared" si="5"/>
        <v>11</v>
      </c>
    </row>
    <row r="73" spans="1:13" x14ac:dyDescent="0.3">
      <c r="A73" t="s">
        <v>175</v>
      </c>
      <c r="B73" t="s">
        <v>123</v>
      </c>
      <c r="C73" s="4" t="s">
        <v>363</v>
      </c>
      <c r="D73" t="s">
        <v>16</v>
      </c>
      <c r="E73" t="s">
        <v>11</v>
      </c>
      <c r="F73">
        <v>3</v>
      </c>
      <c r="G73">
        <v>52111</v>
      </c>
      <c r="H73" t="s">
        <v>29</v>
      </c>
      <c r="I73" t="s">
        <v>32</v>
      </c>
      <c r="J73" t="str">
        <f t="shared" si="3"/>
        <v>Net Banking</v>
      </c>
      <c r="K73" t="s">
        <v>21</v>
      </c>
      <c r="L73">
        <f t="shared" si="4"/>
        <v>156333</v>
      </c>
      <c r="M73" t="str">
        <f t="shared" si="5"/>
        <v>13</v>
      </c>
    </row>
    <row r="74" spans="1:13" x14ac:dyDescent="0.3">
      <c r="A74" t="s">
        <v>176</v>
      </c>
      <c r="B74" t="s">
        <v>92</v>
      </c>
      <c r="C74" s="4" t="s">
        <v>364</v>
      </c>
      <c r="D74" t="s">
        <v>22</v>
      </c>
      <c r="E74" t="s">
        <v>23</v>
      </c>
      <c r="F74">
        <v>2</v>
      </c>
      <c r="G74">
        <v>711</v>
      </c>
      <c r="H74" t="s">
        <v>67</v>
      </c>
      <c r="I74" t="s">
        <v>25</v>
      </c>
      <c r="J74" t="str">
        <f t="shared" si="3"/>
        <v>Cash</v>
      </c>
      <c r="K74" t="s">
        <v>21</v>
      </c>
      <c r="L74">
        <f t="shared" si="4"/>
        <v>1422</v>
      </c>
      <c r="M74" t="str">
        <f t="shared" si="5"/>
        <v>13</v>
      </c>
    </row>
    <row r="75" spans="1:13" x14ac:dyDescent="0.3">
      <c r="A75" t="s">
        <v>177</v>
      </c>
      <c r="B75" t="s">
        <v>76</v>
      </c>
      <c r="C75" s="4" t="s">
        <v>354</v>
      </c>
      <c r="D75" t="s">
        <v>26</v>
      </c>
      <c r="E75" t="s">
        <v>11</v>
      </c>
      <c r="F75">
        <v>1</v>
      </c>
      <c r="G75">
        <v>22111</v>
      </c>
      <c r="H75" t="s">
        <v>29</v>
      </c>
      <c r="I75" t="s">
        <v>20</v>
      </c>
      <c r="J75" t="str">
        <f t="shared" si="3"/>
        <v>Upi</v>
      </c>
      <c r="K75" t="s">
        <v>21</v>
      </c>
      <c r="L75">
        <f t="shared" si="4"/>
        <v>22111</v>
      </c>
      <c r="M75" t="str">
        <f t="shared" si="5"/>
        <v>11</v>
      </c>
    </row>
    <row r="76" spans="1:13" x14ac:dyDescent="0.3">
      <c r="A76" t="s">
        <v>178</v>
      </c>
      <c r="B76" t="s">
        <v>179</v>
      </c>
      <c r="C76" s="4" t="s">
        <v>365</v>
      </c>
      <c r="D76" t="s">
        <v>28</v>
      </c>
      <c r="E76" t="s">
        <v>23</v>
      </c>
      <c r="F76">
        <v>4</v>
      </c>
      <c r="G76">
        <v>1811</v>
      </c>
      <c r="H76" t="s">
        <v>37</v>
      </c>
      <c r="I76" t="s">
        <v>20</v>
      </c>
      <c r="J76" t="str">
        <f t="shared" si="3"/>
        <v>Upi</v>
      </c>
      <c r="K76" t="s">
        <v>18</v>
      </c>
      <c r="L76">
        <f t="shared" si="4"/>
        <v>7244</v>
      </c>
      <c r="M76" t="str">
        <f t="shared" si="5"/>
        <v>13</v>
      </c>
    </row>
    <row r="77" spans="1:13" x14ac:dyDescent="0.3">
      <c r="A77" t="s">
        <v>180</v>
      </c>
      <c r="B77" t="s">
        <v>181</v>
      </c>
      <c r="C77" s="4" t="s">
        <v>366</v>
      </c>
      <c r="D77" t="s">
        <v>30</v>
      </c>
      <c r="E77" t="s">
        <v>31</v>
      </c>
      <c r="F77">
        <v>0</v>
      </c>
      <c r="G77">
        <v>4111</v>
      </c>
      <c r="H77" t="s">
        <v>13</v>
      </c>
      <c r="I77" t="s">
        <v>25</v>
      </c>
      <c r="J77" t="str">
        <f t="shared" si="3"/>
        <v>Cash</v>
      </c>
      <c r="K77" t="s">
        <v>21</v>
      </c>
      <c r="L77">
        <f t="shared" si="4"/>
        <v>0</v>
      </c>
      <c r="M77" t="str">
        <f t="shared" si="5"/>
        <v>18</v>
      </c>
    </row>
    <row r="78" spans="1:13" x14ac:dyDescent="0.3">
      <c r="A78" t="s">
        <v>182</v>
      </c>
      <c r="B78" t="s">
        <v>183</v>
      </c>
      <c r="C78" s="4" t="s">
        <v>345</v>
      </c>
      <c r="D78" t="s">
        <v>34</v>
      </c>
      <c r="E78" t="s">
        <v>11</v>
      </c>
      <c r="F78">
        <v>3</v>
      </c>
      <c r="G78">
        <v>25111</v>
      </c>
      <c r="H78" t="s">
        <v>29</v>
      </c>
      <c r="I78" t="s">
        <v>20</v>
      </c>
      <c r="J78" t="str">
        <f t="shared" si="3"/>
        <v>Upi</v>
      </c>
      <c r="K78" t="s">
        <v>18</v>
      </c>
      <c r="L78">
        <f t="shared" si="4"/>
        <v>75333</v>
      </c>
      <c r="M78" t="str">
        <f t="shared" si="5"/>
        <v>12</v>
      </c>
    </row>
    <row r="79" spans="1:13" x14ac:dyDescent="0.3">
      <c r="A79" t="s">
        <v>184</v>
      </c>
      <c r="B79" t="s">
        <v>103</v>
      </c>
      <c r="C79" s="4" t="s">
        <v>367</v>
      </c>
      <c r="D79" t="s">
        <v>22</v>
      </c>
      <c r="E79" t="s">
        <v>23</v>
      </c>
      <c r="F79">
        <v>2</v>
      </c>
      <c r="G79">
        <v>411</v>
      </c>
      <c r="H79" t="s">
        <v>67</v>
      </c>
      <c r="I79" t="s">
        <v>20</v>
      </c>
      <c r="J79" t="str">
        <f t="shared" si="3"/>
        <v>Upi</v>
      </c>
      <c r="K79" t="s">
        <v>21</v>
      </c>
      <c r="L79">
        <f t="shared" si="4"/>
        <v>822</v>
      </c>
      <c r="M79" t="str">
        <f t="shared" si="5"/>
        <v>15</v>
      </c>
    </row>
    <row r="80" spans="1:13" x14ac:dyDescent="0.3">
      <c r="A80" t="s">
        <v>185</v>
      </c>
      <c r="B80" t="s">
        <v>132</v>
      </c>
      <c r="C80" s="4" t="s">
        <v>368</v>
      </c>
      <c r="D80" t="s">
        <v>28</v>
      </c>
      <c r="E80" t="s">
        <v>23</v>
      </c>
      <c r="F80">
        <v>2</v>
      </c>
      <c r="G80">
        <v>1811</v>
      </c>
      <c r="H80" t="s">
        <v>17</v>
      </c>
      <c r="I80" t="s">
        <v>20</v>
      </c>
      <c r="J80" t="str">
        <f>PROPER(TRIM(I81))</f>
        <v>Net Banking</v>
      </c>
      <c r="K80" t="s">
        <v>21</v>
      </c>
      <c r="L80">
        <f t="shared" si="4"/>
        <v>3622</v>
      </c>
      <c r="M80" t="str">
        <f t="shared" si="5"/>
        <v>11</v>
      </c>
    </row>
    <row r="81" spans="1:13" x14ac:dyDescent="0.3">
      <c r="A81" t="s">
        <v>186</v>
      </c>
      <c r="B81" t="s">
        <v>103</v>
      </c>
      <c r="C81" s="4" t="s">
        <v>354</v>
      </c>
      <c r="D81" t="s">
        <v>16</v>
      </c>
      <c r="E81" t="s">
        <v>11</v>
      </c>
      <c r="F81">
        <v>2</v>
      </c>
      <c r="G81">
        <v>45111</v>
      </c>
      <c r="H81" t="s">
        <v>19</v>
      </c>
      <c r="I81" t="s">
        <v>32</v>
      </c>
      <c r="J81" t="str">
        <f t="shared" si="3"/>
        <v>Net Banking</v>
      </c>
      <c r="K81" t="s">
        <v>15</v>
      </c>
      <c r="L81">
        <f t="shared" si="4"/>
        <v>90222</v>
      </c>
      <c r="M81" t="str">
        <f t="shared" si="5"/>
        <v>11</v>
      </c>
    </row>
    <row r="82" spans="1:13" x14ac:dyDescent="0.3">
      <c r="A82" t="s">
        <v>186</v>
      </c>
      <c r="B82" t="s">
        <v>174</v>
      </c>
      <c r="C82" s="4" t="s">
        <v>369</v>
      </c>
      <c r="D82" t="s">
        <v>10</v>
      </c>
      <c r="E82" t="s">
        <v>11</v>
      </c>
      <c r="F82">
        <v>4</v>
      </c>
      <c r="G82">
        <v>31111</v>
      </c>
      <c r="H82" t="s">
        <v>37</v>
      </c>
      <c r="I82" t="s">
        <v>20</v>
      </c>
      <c r="J82" t="str">
        <f t="shared" si="3"/>
        <v>Upi</v>
      </c>
      <c r="K82" t="s">
        <v>18</v>
      </c>
      <c r="L82">
        <f t="shared" si="4"/>
        <v>124444</v>
      </c>
      <c r="M82" t="str">
        <f t="shared" si="5"/>
        <v>18</v>
      </c>
    </row>
    <row r="83" spans="1:13" x14ac:dyDescent="0.3">
      <c r="A83" t="s">
        <v>187</v>
      </c>
      <c r="B83" t="s">
        <v>72</v>
      </c>
      <c r="C83" s="4" t="s">
        <v>370</v>
      </c>
      <c r="D83" t="s">
        <v>34</v>
      </c>
      <c r="E83" t="s">
        <v>11</v>
      </c>
      <c r="F83">
        <v>4</v>
      </c>
      <c r="G83">
        <v>18111</v>
      </c>
      <c r="H83" t="s">
        <v>29</v>
      </c>
      <c r="I83" t="s">
        <v>25</v>
      </c>
      <c r="J83" t="str">
        <f t="shared" si="3"/>
        <v>Cash</v>
      </c>
      <c r="K83" t="s">
        <v>21</v>
      </c>
      <c r="L83">
        <f t="shared" si="4"/>
        <v>72444</v>
      </c>
      <c r="M83" t="str">
        <f t="shared" si="5"/>
        <v>13</v>
      </c>
    </row>
    <row r="84" spans="1:13" x14ac:dyDescent="0.3">
      <c r="A84" t="s">
        <v>188</v>
      </c>
      <c r="B84" t="s">
        <v>189</v>
      </c>
      <c r="C84" s="4" t="s">
        <v>371</v>
      </c>
      <c r="D84" t="s">
        <v>22</v>
      </c>
      <c r="E84" t="s">
        <v>23</v>
      </c>
      <c r="F84">
        <v>4</v>
      </c>
      <c r="G84">
        <v>1111</v>
      </c>
      <c r="H84" t="s">
        <v>29</v>
      </c>
      <c r="I84" t="s">
        <v>65</v>
      </c>
      <c r="J84" t="str">
        <f t="shared" si="3"/>
        <v>Unknown</v>
      </c>
      <c r="K84" t="s">
        <v>65</v>
      </c>
      <c r="L84">
        <f t="shared" si="4"/>
        <v>4444</v>
      </c>
      <c r="M84" t="str">
        <f t="shared" si="5"/>
        <v>14</v>
      </c>
    </row>
    <row r="85" spans="1:13" x14ac:dyDescent="0.3">
      <c r="A85" t="s">
        <v>190</v>
      </c>
      <c r="B85" t="s">
        <v>162</v>
      </c>
      <c r="C85" s="4" t="s">
        <v>372</v>
      </c>
      <c r="D85" t="s">
        <v>34</v>
      </c>
      <c r="E85" t="s">
        <v>11</v>
      </c>
      <c r="F85">
        <v>1</v>
      </c>
      <c r="G85">
        <v>18111</v>
      </c>
      <c r="H85" t="s">
        <v>13</v>
      </c>
      <c r="I85" t="s">
        <v>20</v>
      </c>
      <c r="J85" t="str">
        <f t="shared" si="3"/>
        <v>Upi</v>
      </c>
      <c r="K85" t="s">
        <v>18</v>
      </c>
      <c r="L85">
        <f t="shared" si="4"/>
        <v>18111</v>
      </c>
      <c r="M85" t="str">
        <f t="shared" si="5"/>
        <v>12</v>
      </c>
    </row>
    <row r="86" spans="1:13" x14ac:dyDescent="0.3">
      <c r="A86" t="s">
        <v>191</v>
      </c>
      <c r="B86" t="s">
        <v>93</v>
      </c>
      <c r="C86" s="4" t="s">
        <v>354</v>
      </c>
      <c r="D86" t="s">
        <v>10</v>
      </c>
      <c r="E86" t="s">
        <v>11</v>
      </c>
      <c r="F86">
        <v>3</v>
      </c>
      <c r="G86">
        <v>15111</v>
      </c>
      <c r="H86" t="s">
        <v>24</v>
      </c>
      <c r="I86" t="s">
        <v>27</v>
      </c>
      <c r="J86" t="str">
        <f t="shared" si="3"/>
        <v>Debit Card</v>
      </c>
      <c r="K86" t="s">
        <v>15</v>
      </c>
      <c r="L86">
        <f t="shared" si="4"/>
        <v>45333</v>
      </c>
      <c r="M86" t="str">
        <f t="shared" si="5"/>
        <v>11</v>
      </c>
    </row>
    <row r="87" spans="1:13" x14ac:dyDescent="0.3">
      <c r="A87" t="s">
        <v>192</v>
      </c>
      <c r="B87" t="s">
        <v>82</v>
      </c>
      <c r="C87" s="4" t="s">
        <v>358</v>
      </c>
      <c r="D87" t="s">
        <v>28</v>
      </c>
      <c r="E87" t="s">
        <v>23</v>
      </c>
      <c r="F87">
        <v>0</v>
      </c>
      <c r="G87">
        <v>1211</v>
      </c>
      <c r="H87" t="s">
        <v>19</v>
      </c>
      <c r="I87" t="s">
        <v>38</v>
      </c>
      <c r="J87" t="str">
        <f t="shared" si="3"/>
        <v>Credit Card</v>
      </c>
      <c r="K87" t="s">
        <v>21</v>
      </c>
      <c r="L87">
        <f t="shared" si="4"/>
        <v>0</v>
      </c>
      <c r="M87" t="str">
        <f t="shared" si="5"/>
        <v>11</v>
      </c>
    </row>
    <row r="88" spans="1:13" x14ac:dyDescent="0.3">
      <c r="A88" t="s">
        <v>193</v>
      </c>
      <c r="B88" t="s">
        <v>131</v>
      </c>
      <c r="C88" s="4" t="s">
        <v>373</v>
      </c>
      <c r="D88" t="s">
        <v>16</v>
      </c>
      <c r="E88" t="s">
        <v>11</v>
      </c>
      <c r="F88">
        <v>3</v>
      </c>
      <c r="G88">
        <v>45111</v>
      </c>
      <c r="H88" t="s">
        <v>19</v>
      </c>
      <c r="I88" t="s">
        <v>20</v>
      </c>
      <c r="J88" t="str">
        <f t="shared" si="3"/>
        <v>Upi</v>
      </c>
      <c r="K88" t="s">
        <v>15</v>
      </c>
      <c r="L88">
        <f t="shared" si="4"/>
        <v>135333</v>
      </c>
      <c r="M88" t="str">
        <f t="shared" si="5"/>
        <v>14</v>
      </c>
    </row>
    <row r="89" spans="1:13" x14ac:dyDescent="0.3">
      <c r="A89" t="s">
        <v>194</v>
      </c>
      <c r="B89" t="s">
        <v>118</v>
      </c>
      <c r="C89" s="4" t="s">
        <v>374</v>
      </c>
      <c r="D89" t="s">
        <v>16</v>
      </c>
      <c r="E89" t="s">
        <v>11</v>
      </c>
      <c r="F89">
        <v>1</v>
      </c>
      <c r="G89">
        <v>52111</v>
      </c>
      <c r="H89" t="s">
        <v>13</v>
      </c>
      <c r="I89" t="s">
        <v>20</v>
      </c>
      <c r="J89" t="str">
        <f t="shared" si="3"/>
        <v>Upi</v>
      </c>
      <c r="K89" t="s">
        <v>15</v>
      </c>
      <c r="L89">
        <f t="shared" si="4"/>
        <v>52111</v>
      </c>
      <c r="M89" t="str">
        <f t="shared" si="5"/>
        <v>16</v>
      </c>
    </row>
    <row r="90" spans="1:13" x14ac:dyDescent="0.3">
      <c r="A90" t="s">
        <v>195</v>
      </c>
      <c r="B90" t="s">
        <v>140</v>
      </c>
      <c r="C90" s="4" t="s">
        <v>340</v>
      </c>
      <c r="D90" t="s">
        <v>36</v>
      </c>
      <c r="E90" t="s">
        <v>23</v>
      </c>
      <c r="F90">
        <v>1</v>
      </c>
      <c r="G90">
        <v>3511</v>
      </c>
      <c r="H90" t="s">
        <v>13</v>
      </c>
      <c r="I90" t="s">
        <v>27</v>
      </c>
      <c r="J90" t="str">
        <f>PROPER(TRIM(I91))</f>
        <v>Debit Card</v>
      </c>
      <c r="K90" t="s">
        <v>18</v>
      </c>
      <c r="L90">
        <f t="shared" si="4"/>
        <v>3511</v>
      </c>
      <c r="M90" t="str">
        <f t="shared" si="5"/>
        <v>15</v>
      </c>
    </row>
    <row r="91" spans="1:13" x14ac:dyDescent="0.3">
      <c r="A91" t="s">
        <v>196</v>
      </c>
      <c r="B91" t="s">
        <v>140</v>
      </c>
      <c r="C91" s="4" t="s">
        <v>375</v>
      </c>
      <c r="D91" t="s">
        <v>10</v>
      </c>
      <c r="E91" t="s">
        <v>11</v>
      </c>
      <c r="F91">
        <v>3</v>
      </c>
      <c r="G91">
        <v>31111</v>
      </c>
      <c r="H91" t="s">
        <v>17</v>
      </c>
      <c r="I91" t="s">
        <v>27</v>
      </c>
      <c r="J91" t="str">
        <f t="shared" si="3"/>
        <v>Debit Card</v>
      </c>
      <c r="K91" t="s">
        <v>18</v>
      </c>
      <c r="L91">
        <f t="shared" si="4"/>
        <v>93333</v>
      </c>
      <c r="M91" t="str">
        <f t="shared" si="5"/>
        <v>16</v>
      </c>
    </row>
    <row r="92" spans="1:13" x14ac:dyDescent="0.3">
      <c r="A92" t="s">
        <v>196</v>
      </c>
      <c r="B92" t="s">
        <v>197</v>
      </c>
      <c r="C92" s="4" t="s">
        <v>376</v>
      </c>
      <c r="D92" t="s">
        <v>26</v>
      </c>
      <c r="E92" t="s">
        <v>11</v>
      </c>
      <c r="F92">
        <v>1</v>
      </c>
      <c r="G92">
        <v>22111</v>
      </c>
      <c r="H92" t="s">
        <v>37</v>
      </c>
      <c r="I92" t="s">
        <v>25</v>
      </c>
      <c r="J92" t="str">
        <f t="shared" si="3"/>
        <v>Cash</v>
      </c>
      <c r="K92" t="s">
        <v>15</v>
      </c>
      <c r="L92">
        <f t="shared" si="4"/>
        <v>22111</v>
      </c>
      <c r="M92" t="str">
        <f t="shared" si="5"/>
        <v>12</v>
      </c>
    </row>
    <row r="93" spans="1:13" x14ac:dyDescent="0.3">
      <c r="A93" t="s">
        <v>198</v>
      </c>
      <c r="B93" t="s">
        <v>199</v>
      </c>
      <c r="C93" s="4" t="s">
        <v>377</v>
      </c>
      <c r="D93" t="s">
        <v>30</v>
      </c>
      <c r="E93" t="s">
        <v>31</v>
      </c>
      <c r="F93">
        <v>1</v>
      </c>
      <c r="G93">
        <v>999</v>
      </c>
      <c r="H93" t="s">
        <v>29</v>
      </c>
      <c r="I93" t="s">
        <v>14</v>
      </c>
      <c r="J93" t="str">
        <f t="shared" si="3"/>
        <v>Credit Card</v>
      </c>
      <c r="K93" t="s">
        <v>21</v>
      </c>
      <c r="L93">
        <f t="shared" si="4"/>
        <v>999</v>
      </c>
      <c r="M93" t="str">
        <f t="shared" si="5"/>
        <v>17</v>
      </c>
    </row>
    <row r="94" spans="1:13" x14ac:dyDescent="0.3">
      <c r="A94" t="s">
        <v>200</v>
      </c>
      <c r="B94" t="s">
        <v>143</v>
      </c>
      <c r="C94" s="4" t="s">
        <v>378</v>
      </c>
      <c r="D94" t="s">
        <v>30</v>
      </c>
      <c r="E94" t="s">
        <v>31</v>
      </c>
      <c r="F94">
        <v>3</v>
      </c>
      <c r="G94">
        <v>9111</v>
      </c>
      <c r="H94" t="s">
        <v>66</v>
      </c>
      <c r="I94" t="s">
        <v>14</v>
      </c>
      <c r="J94" t="str">
        <f t="shared" si="3"/>
        <v>Credit Card</v>
      </c>
      <c r="K94" t="s">
        <v>18</v>
      </c>
      <c r="L94">
        <f t="shared" si="4"/>
        <v>27333</v>
      </c>
      <c r="M94" t="str">
        <f t="shared" si="5"/>
        <v>16</v>
      </c>
    </row>
    <row r="95" spans="1:13" x14ac:dyDescent="0.3">
      <c r="A95" t="s">
        <v>201</v>
      </c>
      <c r="B95" t="s">
        <v>132</v>
      </c>
      <c r="C95" s="4" t="s">
        <v>370</v>
      </c>
      <c r="D95" t="s">
        <v>36</v>
      </c>
      <c r="E95" t="s">
        <v>23</v>
      </c>
      <c r="F95">
        <v>1</v>
      </c>
      <c r="G95">
        <v>2511</v>
      </c>
      <c r="H95" t="s">
        <v>67</v>
      </c>
      <c r="I95" t="s">
        <v>20</v>
      </c>
      <c r="J95" t="str">
        <f t="shared" si="3"/>
        <v>Upi</v>
      </c>
      <c r="K95" t="s">
        <v>21</v>
      </c>
      <c r="L95">
        <f t="shared" si="4"/>
        <v>2511</v>
      </c>
      <c r="M95" t="str">
        <f t="shared" si="5"/>
        <v>13</v>
      </c>
    </row>
    <row r="96" spans="1:13" x14ac:dyDescent="0.3">
      <c r="A96" t="s">
        <v>202</v>
      </c>
      <c r="B96" t="s">
        <v>97</v>
      </c>
      <c r="C96" s="4" t="s">
        <v>363</v>
      </c>
      <c r="D96" t="s">
        <v>36</v>
      </c>
      <c r="E96" t="s">
        <v>23</v>
      </c>
      <c r="F96">
        <v>1</v>
      </c>
      <c r="G96">
        <v>3511</v>
      </c>
      <c r="H96" t="s">
        <v>13</v>
      </c>
      <c r="I96" t="s">
        <v>25</v>
      </c>
      <c r="J96" t="str">
        <f t="shared" si="3"/>
        <v>Cash</v>
      </c>
      <c r="K96" t="s">
        <v>18</v>
      </c>
      <c r="L96">
        <f t="shared" si="4"/>
        <v>3511</v>
      </c>
      <c r="M96" t="str">
        <f t="shared" si="5"/>
        <v>13</v>
      </c>
    </row>
    <row r="97" spans="1:13" x14ac:dyDescent="0.3">
      <c r="A97" t="s">
        <v>203</v>
      </c>
      <c r="B97" t="s">
        <v>93</v>
      </c>
      <c r="C97" s="4" t="s">
        <v>379</v>
      </c>
      <c r="D97" t="s">
        <v>22</v>
      </c>
      <c r="E97" t="s">
        <v>23</v>
      </c>
      <c r="F97">
        <v>3</v>
      </c>
      <c r="G97">
        <v>711</v>
      </c>
      <c r="H97" t="s">
        <v>13</v>
      </c>
      <c r="I97" t="s">
        <v>20</v>
      </c>
      <c r="J97" t="str">
        <f t="shared" si="3"/>
        <v>Upi</v>
      </c>
      <c r="K97" t="s">
        <v>21</v>
      </c>
      <c r="L97">
        <f t="shared" si="4"/>
        <v>2133</v>
      </c>
      <c r="M97" t="str">
        <f t="shared" si="5"/>
        <v>17</v>
      </c>
    </row>
    <row r="98" spans="1:13" x14ac:dyDescent="0.3">
      <c r="A98" t="s">
        <v>204</v>
      </c>
      <c r="B98" t="s">
        <v>70</v>
      </c>
      <c r="C98" s="4" t="s">
        <v>331</v>
      </c>
      <c r="D98" t="s">
        <v>34</v>
      </c>
      <c r="E98" t="s">
        <v>11</v>
      </c>
      <c r="F98">
        <v>4</v>
      </c>
      <c r="G98">
        <v>18111</v>
      </c>
      <c r="H98" t="s">
        <v>29</v>
      </c>
      <c r="I98" t="s">
        <v>20</v>
      </c>
      <c r="J98" t="str">
        <f t="shared" si="3"/>
        <v>Upi</v>
      </c>
      <c r="K98" t="s">
        <v>21</v>
      </c>
      <c r="L98">
        <f t="shared" si="4"/>
        <v>72444</v>
      </c>
      <c r="M98" t="str">
        <f t="shared" si="5"/>
        <v>18</v>
      </c>
    </row>
    <row r="99" spans="1:13" x14ac:dyDescent="0.3">
      <c r="A99" t="s">
        <v>205</v>
      </c>
      <c r="B99" t="s">
        <v>197</v>
      </c>
      <c r="C99" s="4" t="s">
        <v>380</v>
      </c>
      <c r="D99" t="s">
        <v>36</v>
      </c>
      <c r="E99" t="s">
        <v>23</v>
      </c>
      <c r="F99">
        <v>1</v>
      </c>
      <c r="G99">
        <v>3511</v>
      </c>
      <c r="H99" t="s">
        <v>19</v>
      </c>
      <c r="I99" t="s">
        <v>27</v>
      </c>
      <c r="J99" t="str">
        <f t="shared" si="3"/>
        <v>Debit Card</v>
      </c>
      <c r="K99" t="s">
        <v>21</v>
      </c>
      <c r="L99">
        <f t="shared" si="4"/>
        <v>3511</v>
      </c>
      <c r="M99" t="str">
        <f t="shared" si="5"/>
        <v>15</v>
      </c>
    </row>
    <row r="100" spans="1:13" x14ac:dyDescent="0.3">
      <c r="A100" t="s">
        <v>206</v>
      </c>
      <c r="B100" t="s">
        <v>111</v>
      </c>
      <c r="C100" s="4" t="s">
        <v>381</v>
      </c>
      <c r="D100" t="s">
        <v>16</v>
      </c>
      <c r="E100" t="s">
        <v>11</v>
      </c>
      <c r="F100">
        <v>3</v>
      </c>
      <c r="G100">
        <v>45111</v>
      </c>
      <c r="H100" t="s">
        <v>17</v>
      </c>
      <c r="I100" t="s">
        <v>27</v>
      </c>
      <c r="J100" t="str">
        <f>PROPER(TRIM(I111))</f>
        <v>Credit Card</v>
      </c>
      <c r="K100" t="s">
        <v>15</v>
      </c>
      <c r="L100">
        <f t="shared" si="4"/>
        <v>135333</v>
      </c>
      <c r="M100" t="str">
        <f t="shared" si="5"/>
        <v>12</v>
      </c>
    </row>
    <row r="101" spans="1:13" x14ac:dyDescent="0.3">
      <c r="A101" t="s">
        <v>69</v>
      </c>
      <c r="B101" t="s">
        <v>89</v>
      </c>
      <c r="C101" s="4" t="s">
        <v>327</v>
      </c>
      <c r="D101" t="s">
        <v>36</v>
      </c>
      <c r="E101" t="s">
        <v>23</v>
      </c>
      <c r="F101">
        <v>3</v>
      </c>
      <c r="G101">
        <v>1811</v>
      </c>
      <c r="H101" t="s">
        <v>17</v>
      </c>
      <c r="I101" t="s">
        <v>32</v>
      </c>
      <c r="J101" t="str">
        <f t="shared" ref="J101:J109" si="6">PROPER(TRIM(I111))</f>
        <v>Credit Card</v>
      </c>
      <c r="K101" t="s">
        <v>15</v>
      </c>
      <c r="L101">
        <f t="shared" si="4"/>
        <v>5433</v>
      </c>
      <c r="M101" t="str">
        <f t="shared" si="5"/>
        <v>11</v>
      </c>
    </row>
    <row r="102" spans="1:13" x14ac:dyDescent="0.3">
      <c r="A102" t="s">
        <v>69</v>
      </c>
      <c r="B102" t="s">
        <v>179</v>
      </c>
      <c r="C102" s="4" t="s">
        <v>382</v>
      </c>
      <c r="D102" t="s">
        <v>34</v>
      </c>
      <c r="E102" t="s">
        <v>11</v>
      </c>
      <c r="F102">
        <v>3</v>
      </c>
      <c r="G102">
        <v>35111</v>
      </c>
      <c r="H102" t="s">
        <v>17</v>
      </c>
      <c r="I102" t="s">
        <v>20</v>
      </c>
      <c r="J102" t="str">
        <f t="shared" si="6"/>
        <v>Debit Card</v>
      </c>
      <c r="K102" t="s">
        <v>18</v>
      </c>
      <c r="L102">
        <f t="shared" si="4"/>
        <v>105333</v>
      </c>
      <c r="M102" t="str">
        <f t="shared" si="5"/>
        <v>14</v>
      </c>
    </row>
    <row r="103" spans="1:13" x14ac:dyDescent="0.3">
      <c r="A103" t="s">
        <v>71</v>
      </c>
      <c r="B103" t="s">
        <v>189</v>
      </c>
      <c r="C103" s="4" t="s">
        <v>383</v>
      </c>
      <c r="D103" t="s">
        <v>10</v>
      </c>
      <c r="E103" t="s">
        <v>11</v>
      </c>
      <c r="F103">
        <v>1</v>
      </c>
      <c r="G103">
        <v>22111</v>
      </c>
      <c r="H103" t="s">
        <v>29</v>
      </c>
      <c r="I103" t="s">
        <v>14</v>
      </c>
      <c r="J103" t="str">
        <f t="shared" si="6"/>
        <v>Cash</v>
      </c>
      <c r="K103" t="s">
        <v>18</v>
      </c>
      <c r="L103">
        <f t="shared" si="4"/>
        <v>22111</v>
      </c>
      <c r="M103" t="str">
        <f t="shared" si="5"/>
        <v>11</v>
      </c>
    </row>
    <row r="104" spans="1:13" x14ac:dyDescent="0.3">
      <c r="A104" t="s">
        <v>73</v>
      </c>
      <c r="B104" t="s">
        <v>118</v>
      </c>
      <c r="C104" s="4" t="s">
        <v>380</v>
      </c>
      <c r="D104" t="s">
        <v>22</v>
      </c>
      <c r="E104" t="s">
        <v>23</v>
      </c>
      <c r="F104">
        <v>4</v>
      </c>
      <c r="G104">
        <v>411</v>
      </c>
      <c r="H104" t="s">
        <v>19</v>
      </c>
      <c r="I104" t="s">
        <v>32</v>
      </c>
      <c r="J104" t="str">
        <f t="shared" si="6"/>
        <v>Net Banking</v>
      </c>
      <c r="K104" t="s">
        <v>21</v>
      </c>
      <c r="L104">
        <f t="shared" si="4"/>
        <v>1644</v>
      </c>
      <c r="M104" t="str">
        <f t="shared" si="5"/>
        <v>15</v>
      </c>
    </row>
    <row r="105" spans="1:13" x14ac:dyDescent="0.3">
      <c r="A105" t="s">
        <v>75</v>
      </c>
      <c r="B105" t="s">
        <v>207</v>
      </c>
      <c r="C105" s="4" t="s">
        <v>384</v>
      </c>
      <c r="D105" t="s">
        <v>16</v>
      </c>
      <c r="E105" t="s">
        <v>11</v>
      </c>
      <c r="F105">
        <v>2</v>
      </c>
      <c r="G105">
        <v>25111</v>
      </c>
      <c r="H105" t="s">
        <v>13</v>
      </c>
      <c r="I105" t="s">
        <v>27</v>
      </c>
      <c r="J105" t="str">
        <f t="shared" si="6"/>
        <v>Debit Card</v>
      </c>
      <c r="K105" t="s">
        <v>15</v>
      </c>
      <c r="L105">
        <f t="shared" si="4"/>
        <v>50222</v>
      </c>
      <c r="M105" t="str">
        <f t="shared" si="5"/>
        <v>12</v>
      </c>
    </row>
    <row r="106" spans="1:13" x14ac:dyDescent="0.3">
      <c r="A106" t="s">
        <v>77</v>
      </c>
      <c r="B106" t="s">
        <v>103</v>
      </c>
      <c r="C106" s="4" t="s">
        <v>366</v>
      </c>
      <c r="D106" t="s">
        <v>36</v>
      </c>
      <c r="E106" t="s">
        <v>23</v>
      </c>
      <c r="F106">
        <v>3</v>
      </c>
      <c r="G106">
        <v>3511</v>
      </c>
      <c r="H106" t="s">
        <v>19</v>
      </c>
      <c r="I106" t="s">
        <v>32</v>
      </c>
      <c r="J106" t="str">
        <f t="shared" si="6"/>
        <v>Upi</v>
      </c>
      <c r="K106" t="s">
        <v>18</v>
      </c>
      <c r="L106">
        <f t="shared" si="4"/>
        <v>10533</v>
      </c>
      <c r="M106" t="str">
        <f t="shared" si="5"/>
        <v>18</v>
      </c>
    </row>
    <row r="107" spans="1:13" x14ac:dyDescent="0.3">
      <c r="A107" t="s">
        <v>79</v>
      </c>
      <c r="B107" t="s">
        <v>86</v>
      </c>
      <c r="C107" s="4" t="s">
        <v>385</v>
      </c>
      <c r="D107" t="s">
        <v>28</v>
      </c>
      <c r="E107" t="s">
        <v>23</v>
      </c>
      <c r="F107">
        <v>4</v>
      </c>
      <c r="G107">
        <v>711</v>
      </c>
      <c r="H107" t="s">
        <v>24</v>
      </c>
      <c r="I107" t="s">
        <v>25</v>
      </c>
      <c r="J107" t="str">
        <f t="shared" si="6"/>
        <v>Net Banking</v>
      </c>
      <c r="K107" t="s">
        <v>21</v>
      </c>
      <c r="L107">
        <f t="shared" si="4"/>
        <v>2844</v>
      </c>
      <c r="M107" t="str">
        <f t="shared" si="5"/>
        <v>13</v>
      </c>
    </row>
    <row r="108" spans="1:13" x14ac:dyDescent="0.3">
      <c r="A108" t="s">
        <v>81</v>
      </c>
      <c r="B108" t="s">
        <v>118</v>
      </c>
      <c r="C108" s="4" t="s">
        <v>386</v>
      </c>
      <c r="D108" t="s">
        <v>36</v>
      </c>
      <c r="E108" t="s">
        <v>23</v>
      </c>
      <c r="F108">
        <v>4</v>
      </c>
      <c r="G108">
        <v>1211</v>
      </c>
      <c r="H108" t="s">
        <v>24</v>
      </c>
      <c r="I108" t="s">
        <v>14</v>
      </c>
      <c r="J108" t="str">
        <f t="shared" si="6"/>
        <v>Debit Card</v>
      </c>
      <c r="K108" t="s">
        <v>18</v>
      </c>
      <c r="L108">
        <f t="shared" si="4"/>
        <v>4844</v>
      </c>
      <c r="M108" t="str">
        <f t="shared" si="5"/>
        <v>12</v>
      </c>
    </row>
    <row r="109" spans="1:13" x14ac:dyDescent="0.3">
      <c r="A109" t="s">
        <v>83</v>
      </c>
      <c r="B109" t="s">
        <v>208</v>
      </c>
      <c r="C109" s="4" t="s">
        <v>387</v>
      </c>
      <c r="D109" t="s">
        <v>10</v>
      </c>
      <c r="E109" t="s">
        <v>11</v>
      </c>
      <c r="F109">
        <v>1</v>
      </c>
      <c r="G109">
        <v>42111</v>
      </c>
      <c r="H109" t="s">
        <v>65</v>
      </c>
      <c r="I109" t="s">
        <v>20</v>
      </c>
      <c r="J109" t="str">
        <f t="shared" si="6"/>
        <v>Debit Card</v>
      </c>
      <c r="K109" t="s">
        <v>21</v>
      </c>
      <c r="L109">
        <f t="shared" si="4"/>
        <v>42111</v>
      </c>
      <c r="M109" t="str">
        <f t="shared" si="5"/>
        <v>13</v>
      </c>
    </row>
    <row r="110" spans="1:13" x14ac:dyDescent="0.3">
      <c r="A110" t="s">
        <v>84</v>
      </c>
      <c r="B110" t="s">
        <v>74</v>
      </c>
      <c r="C110" s="4" t="s">
        <v>353</v>
      </c>
      <c r="D110" t="s">
        <v>26</v>
      </c>
      <c r="E110" t="s">
        <v>11</v>
      </c>
      <c r="F110">
        <v>2</v>
      </c>
      <c r="G110">
        <v>9111</v>
      </c>
      <c r="H110" t="s">
        <v>19</v>
      </c>
      <c r="I110" t="s">
        <v>27</v>
      </c>
      <c r="J110" t="str">
        <f>PROPER(TRIM(I111))</f>
        <v>Credit Card</v>
      </c>
      <c r="K110" t="s">
        <v>18</v>
      </c>
      <c r="L110">
        <f t="shared" si="4"/>
        <v>18222</v>
      </c>
      <c r="M110" t="str">
        <f t="shared" si="5"/>
        <v>18</v>
      </c>
    </row>
    <row r="111" spans="1:13" x14ac:dyDescent="0.3">
      <c r="A111" t="s">
        <v>69</v>
      </c>
      <c r="B111" t="s">
        <v>209</v>
      </c>
      <c r="C111" s="4" t="s">
        <v>383</v>
      </c>
      <c r="D111" t="s">
        <v>16</v>
      </c>
      <c r="E111" t="s">
        <v>11</v>
      </c>
      <c r="F111">
        <v>3</v>
      </c>
      <c r="G111">
        <v>45111</v>
      </c>
      <c r="H111" t="s">
        <v>29</v>
      </c>
      <c r="I111" t="s">
        <v>14</v>
      </c>
      <c r="J111" t="str">
        <f t="shared" si="3"/>
        <v>Credit Card</v>
      </c>
      <c r="K111" t="s">
        <v>21</v>
      </c>
      <c r="L111">
        <f t="shared" si="4"/>
        <v>135333</v>
      </c>
      <c r="M111" t="str">
        <f t="shared" si="5"/>
        <v>11</v>
      </c>
    </row>
    <row r="112" spans="1:13" x14ac:dyDescent="0.3">
      <c r="A112" t="s">
        <v>69</v>
      </c>
      <c r="B112" t="s">
        <v>107</v>
      </c>
      <c r="C112" s="4" t="s">
        <v>383</v>
      </c>
      <c r="D112" t="s">
        <v>30</v>
      </c>
      <c r="E112" t="s">
        <v>31</v>
      </c>
      <c r="F112">
        <v>4</v>
      </c>
      <c r="G112">
        <v>4111</v>
      </c>
      <c r="H112" t="s">
        <v>37</v>
      </c>
      <c r="I112" t="s">
        <v>27</v>
      </c>
      <c r="J112" t="str">
        <f t="shared" si="3"/>
        <v>Debit Card</v>
      </c>
      <c r="K112" t="s">
        <v>18</v>
      </c>
      <c r="L112">
        <f t="shared" si="4"/>
        <v>16444</v>
      </c>
      <c r="M112" t="str">
        <f t="shared" si="5"/>
        <v>11</v>
      </c>
    </row>
    <row r="113" spans="1:13" x14ac:dyDescent="0.3">
      <c r="A113" t="s">
        <v>71</v>
      </c>
      <c r="B113" t="s">
        <v>183</v>
      </c>
      <c r="C113" s="4" t="s">
        <v>387</v>
      </c>
      <c r="D113" t="s">
        <v>34</v>
      </c>
      <c r="E113" t="s">
        <v>11</v>
      </c>
      <c r="F113">
        <v>4</v>
      </c>
      <c r="G113">
        <v>25111</v>
      </c>
      <c r="H113" t="s">
        <v>19</v>
      </c>
      <c r="I113" t="s">
        <v>25</v>
      </c>
      <c r="J113" t="str">
        <f t="shared" si="3"/>
        <v>Cash</v>
      </c>
      <c r="K113" t="s">
        <v>21</v>
      </c>
      <c r="L113">
        <f t="shared" si="4"/>
        <v>100444</v>
      </c>
      <c r="M113" t="str">
        <f t="shared" si="5"/>
        <v>13</v>
      </c>
    </row>
    <row r="114" spans="1:13" x14ac:dyDescent="0.3">
      <c r="A114" t="s">
        <v>73</v>
      </c>
      <c r="B114" t="s">
        <v>118</v>
      </c>
      <c r="C114" s="4" t="s">
        <v>348</v>
      </c>
      <c r="D114" t="s">
        <v>30</v>
      </c>
      <c r="E114" t="s">
        <v>31</v>
      </c>
      <c r="F114">
        <v>4</v>
      </c>
      <c r="G114">
        <v>2511</v>
      </c>
      <c r="H114" t="s">
        <v>19</v>
      </c>
      <c r="I114" t="s">
        <v>32</v>
      </c>
      <c r="J114" t="str">
        <f t="shared" si="3"/>
        <v>Net Banking</v>
      </c>
      <c r="K114" t="s">
        <v>15</v>
      </c>
      <c r="L114">
        <f t="shared" si="4"/>
        <v>10044</v>
      </c>
      <c r="M114" t="str">
        <f t="shared" si="5"/>
        <v>18</v>
      </c>
    </row>
    <row r="115" spans="1:13" x14ac:dyDescent="0.3">
      <c r="A115" t="s">
        <v>75</v>
      </c>
      <c r="B115" t="s">
        <v>155</v>
      </c>
      <c r="C115" s="4" t="s">
        <v>388</v>
      </c>
      <c r="D115" t="s">
        <v>22</v>
      </c>
      <c r="E115" t="s">
        <v>23</v>
      </c>
      <c r="F115">
        <v>3</v>
      </c>
      <c r="G115">
        <v>711</v>
      </c>
      <c r="H115" t="s">
        <v>35</v>
      </c>
      <c r="I115" t="s">
        <v>27</v>
      </c>
      <c r="J115" t="str">
        <f t="shared" si="3"/>
        <v>Debit Card</v>
      </c>
      <c r="K115" t="s">
        <v>18</v>
      </c>
      <c r="L115">
        <f t="shared" si="4"/>
        <v>2133</v>
      </c>
      <c r="M115" t="str">
        <f t="shared" si="5"/>
        <v>13</v>
      </c>
    </row>
    <row r="116" spans="1:13" x14ac:dyDescent="0.3">
      <c r="A116" t="s">
        <v>77</v>
      </c>
      <c r="B116" t="s">
        <v>131</v>
      </c>
      <c r="C116" s="4" t="s">
        <v>329</v>
      </c>
      <c r="D116" t="s">
        <v>16</v>
      </c>
      <c r="E116" t="s">
        <v>11</v>
      </c>
      <c r="F116">
        <v>3</v>
      </c>
      <c r="G116">
        <v>68111</v>
      </c>
      <c r="H116" t="s">
        <v>35</v>
      </c>
      <c r="I116" t="s">
        <v>20</v>
      </c>
      <c r="J116" t="str">
        <f t="shared" si="3"/>
        <v>Upi</v>
      </c>
      <c r="K116" t="s">
        <v>15</v>
      </c>
      <c r="L116">
        <f t="shared" si="4"/>
        <v>204333</v>
      </c>
      <c r="M116" t="str">
        <f t="shared" si="5"/>
        <v>11</v>
      </c>
    </row>
    <row r="117" spans="1:13" x14ac:dyDescent="0.3">
      <c r="A117" t="s">
        <v>79</v>
      </c>
      <c r="B117" t="s">
        <v>97</v>
      </c>
      <c r="C117" s="4" t="s">
        <v>389</v>
      </c>
      <c r="D117" t="s">
        <v>10</v>
      </c>
      <c r="E117" t="s">
        <v>11</v>
      </c>
      <c r="F117">
        <v>2</v>
      </c>
      <c r="G117">
        <v>31111</v>
      </c>
      <c r="H117" t="s">
        <v>13</v>
      </c>
      <c r="I117" t="s">
        <v>32</v>
      </c>
      <c r="J117" t="str">
        <f t="shared" si="3"/>
        <v>Net Banking</v>
      </c>
      <c r="K117" t="s">
        <v>15</v>
      </c>
      <c r="L117">
        <f t="shared" si="4"/>
        <v>62222</v>
      </c>
      <c r="M117" t="str">
        <f t="shared" si="5"/>
        <v>17</v>
      </c>
    </row>
    <row r="118" spans="1:13" x14ac:dyDescent="0.3">
      <c r="A118" t="s">
        <v>81</v>
      </c>
      <c r="B118" t="s">
        <v>74</v>
      </c>
      <c r="C118" s="4" t="s">
        <v>362</v>
      </c>
      <c r="D118" t="s">
        <v>26</v>
      </c>
      <c r="E118" t="s">
        <v>11</v>
      </c>
      <c r="F118">
        <v>4</v>
      </c>
      <c r="G118">
        <v>12111</v>
      </c>
      <c r="H118" t="s">
        <v>24</v>
      </c>
      <c r="I118" t="s">
        <v>27</v>
      </c>
      <c r="J118" t="str">
        <f t="shared" si="3"/>
        <v>Debit Card</v>
      </c>
      <c r="K118" t="s">
        <v>21</v>
      </c>
      <c r="L118">
        <f t="shared" si="4"/>
        <v>48444</v>
      </c>
      <c r="M118" t="str">
        <f t="shared" si="5"/>
        <v>11</v>
      </c>
    </row>
    <row r="119" spans="1:13" x14ac:dyDescent="0.3">
      <c r="A119" t="s">
        <v>83</v>
      </c>
      <c r="B119" t="s">
        <v>162</v>
      </c>
      <c r="C119" s="4" t="s">
        <v>348</v>
      </c>
      <c r="D119" t="s">
        <v>30</v>
      </c>
      <c r="E119" t="s">
        <v>31</v>
      </c>
      <c r="F119">
        <v>2</v>
      </c>
      <c r="G119">
        <v>4111</v>
      </c>
      <c r="H119" t="s">
        <v>65</v>
      </c>
      <c r="I119" t="s">
        <v>27</v>
      </c>
      <c r="J119" t="str">
        <f t="shared" si="3"/>
        <v>Debit Card</v>
      </c>
      <c r="K119" t="s">
        <v>21</v>
      </c>
      <c r="L119">
        <f t="shared" si="4"/>
        <v>8222</v>
      </c>
      <c r="M119" t="str">
        <f t="shared" si="5"/>
        <v>18</v>
      </c>
    </row>
    <row r="120" spans="1:13" x14ac:dyDescent="0.3">
      <c r="A120" t="s">
        <v>84</v>
      </c>
      <c r="B120" t="s">
        <v>210</v>
      </c>
      <c r="C120" s="4" t="s">
        <v>322</v>
      </c>
      <c r="D120" t="s">
        <v>10</v>
      </c>
      <c r="E120" t="s">
        <v>11</v>
      </c>
      <c r="F120">
        <v>3</v>
      </c>
      <c r="G120">
        <v>22111</v>
      </c>
      <c r="H120" t="s">
        <v>35</v>
      </c>
      <c r="I120" t="s">
        <v>20</v>
      </c>
      <c r="J120" t="str">
        <f>PROPER(TRIM(I121))</f>
        <v>Debit Card</v>
      </c>
      <c r="K120" t="s">
        <v>18</v>
      </c>
      <c r="L120">
        <f t="shared" si="4"/>
        <v>66333</v>
      </c>
      <c r="M120" t="str">
        <f t="shared" si="5"/>
        <v>13</v>
      </c>
    </row>
    <row r="121" spans="1:13" x14ac:dyDescent="0.3">
      <c r="A121" t="s">
        <v>95</v>
      </c>
      <c r="B121" t="s">
        <v>118</v>
      </c>
      <c r="C121" s="4" t="s">
        <v>390</v>
      </c>
      <c r="D121" t="s">
        <v>26</v>
      </c>
      <c r="E121" t="s">
        <v>11</v>
      </c>
      <c r="F121">
        <v>4</v>
      </c>
      <c r="G121">
        <v>22111</v>
      </c>
      <c r="H121" t="s">
        <v>17</v>
      </c>
      <c r="I121" t="s">
        <v>27</v>
      </c>
      <c r="J121" t="str">
        <f t="shared" si="3"/>
        <v>Debit Card</v>
      </c>
      <c r="K121" t="s">
        <v>21</v>
      </c>
      <c r="L121">
        <f t="shared" si="4"/>
        <v>88444</v>
      </c>
      <c r="M121" t="str">
        <f t="shared" si="5"/>
        <v>11</v>
      </c>
    </row>
    <row r="122" spans="1:13" x14ac:dyDescent="0.3">
      <c r="A122" t="s">
        <v>95</v>
      </c>
      <c r="B122" t="s">
        <v>179</v>
      </c>
      <c r="C122" s="4" t="s">
        <v>391</v>
      </c>
      <c r="D122" t="s">
        <v>10</v>
      </c>
      <c r="E122" t="s">
        <v>11</v>
      </c>
      <c r="F122">
        <v>4</v>
      </c>
      <c r="G122">
        <v>31111</v>
      </c>
      <c r="H122" t="s">
        <v>13</v>
      </c>
      <c r="I122" t="s">
        <v>32</v>
      </c>
      <c r="J122" t="str">
        <f t="shared" si="3"/>
        <v>Net Banking</v>
      </c>
      <c r="K122" t="s">
        <v>15</v>
      </c>
      <c r="L122">
        <f t="shared" si="4"/>
        <v>124444</v>
      </c>
      <c r="M122" t="str">
        <f t="shared" si="5"/>
        <v>19</v>
      </c>
    </row>
    <row r="123" spans="1:13" x14ac:dyDescent="0.3">
      <c r="A123" t="s">
        <v>98</v>
      </c>
      <c r="B123" t="s">
        <v>211</v>
      </c>
      <c r="C123" s="4" t="s">
        <v>392</v>
      </c>
      <c r="D123" t="s">
        <v>22</v>
      </c>
      <c r="E123" t="s">
        <v>23</v>
      </c>
      <c r="F123">
        <v>2</v>
      </c>
      <c r="G123">
        <v>1111</v>
      </c>
      <c r="H123" t="s">
        <v>24</v>
      </c>
      <c r="I123" t="s">
        <v>14</v>
      </c>
      <c r="J123" t="str">
        <f t="shared" si="3"/>
        <v>Credit Card</v>
      </c>
      <c r="K123" t="s">
        <v>21</v>
      </c>
      <c r="L123">
        <f t="shared" si="4"/>
        <v>2222</v>
      </c>
      <c r="M123" t="str">
        <f t="shared" si="5"/>
        <v>14</v>
      </c>
    </row>
    <row r="124" spans="1:13" x14ac:dyDescent="0.3">
      <c r="A124" t="s">
        <v>100</v>
      </c>
      <c r="B124" t="s">
        <v>74</v>
      </c>
      <c r="C124" s="4" t="s">
        <v>393</v>
      </c>
      <c r="D124" t="s">
        <v>22</v>
      </c>
      <c r="E124" t="s">
        <v>23</v>
      </c>
      <c r="F124">
        <v>1</v>
      </c>
      <c r="G124">
        <v>1111</v>
      </c>
      <c r="H124" t="s">
        <v>24</v>
      </c>
      <c r="I124" t="s">
        <v>14</v>
      </c>
      <c r="J124" t="str">
        <f t="shared" si="3"/>
        <v>Credit Card</v>
      </c>
      <c r="K124" t="s">
        <v>21</v>
      </c>
      <c r="L124">
        <f t="shared" si="4"/>
        <v>1111</v>
      </c>
      <c r="M124" t="str">
        <f t="shared" si="5"/>
        <v>12</v>
      </c>
    </row>
    <row r="125" spans="1:13" x14ac:dyDescent="0.3">
      <c r="A125" t="s">
        <v>102</v>
      </c>
      <c r="B125" t="s">
        <v>155</v>
      </c>
      <c r="C125" s="4" t="s">
        <v>325</v>
      </c>
      <c r="D125" t="s">
        <v>34</v>
      </c>
      <c r="E125" t="s">
        <v>11</v>
      </c>
      <c r="F125">
        <v>1</v>
      </c>
      <c r="G125">
        <v>25111</v>
      </c>
      <c r="H125" t="s">
        <v>37</v>
      </c>
      <c r="I125" t="s">
        <v>14</v>
      </c>
      <c r="J125" t="str">
        <f t="shared" si="3"/>
        <v>Credit Card</v>
      </c>
      <c r="K125" t="s">
        <v>18</v>
      </c>
      <c r="L125">
        <f t="shared" si="4"/>
        <v>25111</v>
      </c>
      <c r="M125" t="str">
        <f t="shared" si="5"/>
        <v>12</v>
      </c>
    </row>
    <row r="126" spans="1:13" x14ac:dyDescent="0.3">
      <c r="A126" t="s">
        <v>104</v>
      </c>
      <c r="B126" t="s">
        <v>103</v>
      </c>
      <c r="C126" s="4" t="s">
        <v>394</v>
      </c>
      <c r="D126" t="s">
        <v>34</v>
      </c>
      <c r="E126" t="s">
        <v>11</v>
      </c>
      <c r="F126">
        <v>4</v>
      </c>
      <c r="G126">
        <v>25111</v>
      </c>
      <c r="H126" t="s">
        <v>29</v>
      </c>
      <c r="I126" t="s">
        <v>65</v>
      </c>
      <c r="J126" t="str">
        <f t="shared" si="3"/>
        <v>Unknown</v>
      </c>
      <c r="K126" t="s">
        <v>21</v>
      </c>
      <c r="L126">
        <f t="shared" si="4"/>
        <v>100444</v>
      </c>
      <c r="M126" t="str">
        <f t="shared" si="5"/>
        <v>17</v>
      </c>
    </row>
    <row r="127" spans="1:13" x14ac:dyDescent="0.3">
      <c r="A127" t="s">
        <v>106</v>
      </c>
      <c r="B127" t="s">
        <v>208</v>
      </c>
      <c r="C127" s="4" t="s">
        <v>327</v>
      </c>
      <c r="D127" t="s">
        <v>10</v>
      </c>
      <c r="E127" t="s">
        <v>11</v>
      </c>
      <c r="F127">
        <v>3</v>
      </c>
      <c r="G127">
        <v>42111</v>
      </c>
      <c r="H127" t="s">
        <v>19</v>
      </c>
      <c r="I127" t="s">
        <v>32</v>
      </c>
      <c r="J127" t="str">
        <f t="shared" si="3"/>
        <v>Net Banking</v>
      </c>
      <c r="K127" t="s">
        <v>18</v>
      </c>
      <c r="L127">
        <f t="shared" si="4"/>
        <v>126333</v>
      </c>
      <c r="M127" t="str">
        <f t="shared" si="5"/>
        <v>11</v>
      </c>
    </row>
    <row r="128" spans="1:13" x14ac:dyDescent="0.3">
      <c r="A128" t="s">
        <v>108</v>
      </c>
      <c r="B128" t="s">
        <v>199</v>
      </c>
      <c r="C128" s="4" t="s">
        <v>395</v>
      </c>
      <c r="D128" t="s">
        <v>28</v>
      </c>
      <c r="E128" t="s">
        <v>23</v>
      </c>
      <c r="F128">
        <v>2</v>
      </c>
      <c r="G128">
        <v>711</v>
      </c>
      <c r="H128" t="s">
        <v>13</v>
      </c>
      <c r="I128" t="s">
        <v>25</v>
      </c>
      <c r="J128" t="str">
        <f t="shared" si="3"/>
        <v>Cash</v>
      </c>
      <c r="K128" t="s">
        <v>21</v>
      </c>
      <c r="L128">
        <f t="shared" si="4"/>
        <v>1422</v>
      </c>
      <c r="M128" t="str">
        <f t="shared" si="5"/>
        <v>19</v>
      </c>
    </row>
    <row r="129" spans="1:13" x14ac:dyDescent="0.3">
      <c r="A129" t="s">
        <v>110</v>
      </c>
      <c r="B129" t="s">
        <v>162</v>
      </c>
      <c r="C129" s="4" t="s">
        <v>314</v>
      </c>
      <c r="D129" t="s">
        <v>30</v>
      </c>
      <c r="E129" t="s">
        <v>31</v>
      </c>
      <c r="F129">
        <v>2</v>
      </c>
      <c r="G129">
        <v>6511</v>
      </c>
      <c r="H129" t="s">
        <v>13</v>
      </c>
      <c r="I129" t="s">
        <v>25</v>
      </c>
      <c r="J129" t="str">
        <f t="shared" si="3"/>
        <v>Cash</v>
      </c>
      <c r="K129" t="s">
        <v>15</v>
      </c>
      <c r="L129">
        <f t="shared" si="4"/>
        <v>13022</v>
      </c>
      <c r="M129" t="str">
        <f t="shared" si="5"/>
        <v>11</v>
      </c>
    </row>
    <row r="130" spans="1:13" x14ac:dyDescent="0.3">
      <c r="A130" t="s">
        <v>112</v>
      </c>
      <c r="B130" t="s">
        <v>197</v>
      </c>
      <c r="C130" s="4" t="s">
        <v>325</v>
      </c>
      <c r="D130" t="s">
        <v>22</v>
      </c>
      <c r="E130" t="s">
        <v>23</v>
      </c>
      <c r="F130">
        <v>3</v>
      </c>
      <c r="G130">
        <v>411</v>
      </c>
      <c r="H130" t="s">
        <v>35</v>
      </c>
      <c r="I130" t="s">
        <v>32</v>
      </c>
      <c r="J130" t="str">
        <f>PROPER(TRIM(I131))</f>
        <v>Net Banking</v>
      </c>
      <c r="K130" t="s">
        <v>18</v>
      </c>
      <c r="L130">
        <f t="shared" ref="L130:L193" si="7">F130*G130</f>
        <v>1233</v>
      </c>
      <c r="M130" t="str">
        <f t="shared" ref="M130:M193" si="8">IFERROR(MID(C130,4,2),"")</f>
        <v>12</v>
      </c>
    </row>
    <row r="131" spans="1:13" x14ac:dyDescent="0.3">
      <c r="A131" t="s">
        <v>114</v>
      </c>
      <c r="B131" t="s">
        <v>109</v>
      </c>
      <c r="C131" s="4" t="s">
        <v>362</v>
      </c>
      <c r="D131" t="s">
        <v>10</v>
      </c>
      <c r="E131" t="s">
        <v>11</v>
      </c>
      <c r="F131">
        <v>2</v>
      </c>
      <c r="G131">
        <v>42111</v>
      </c>
      <c r="H131" t="s">
        <v>19</v>
      </c>
      <c r="I131" t="s">
        <v>32</v>
      </c>
      <c r="J131" t="str">
        <f t="shared" ref="J131:J193" si="9">PROPER(TRIM(I131))</f>
        <v>Net Banking</v>
      </c>
      <c r="K131" t="s">
        <v>15</v>
      </c>
      <c r="L131">
        <f t="shared" si="7"/>
        <v>84222</v>
      </c>
      <c r="M131" t="str">
        <f t="shared" si="8"/>
        <v>11</v>
      </c>
    </row>
    <row r="132" spans="1:13" x14ac:dyDescent="0.3">
      <c r="A132" t="s">
        <v>114</v>
      </c>
      <c r="B132" t="s">
        <v>96</v>
      </c>
      <c r="C132" s="4" t="s">
        <v>320</v>
      </c>
      <c r="D132" t="s">
        <v>16</v>
      </c>
      <c r="E132" t="s">
        <v>11</v>
      </c>
      <c r="F132">
        <v>1</v>
      </c>
      <c r="G132">
        <v>52111</v>
      </c>
      <c r="H132" t="s">
        <v>17</v>
      </c>
      <c r="I132" t="s">
        <v>25</v>
      </c>
      <c r="J132" t="str">
        <f t="shared" si="9"/>
        <v>Cash</v>
      </c>
      <c r="K132" t="s">
        <v>21</v>
      </c>
      <c r="L132">
        <f t="shared" si="7"/>
        <v>52111</v>
      </c>
      <c r="M132" t="str">
        <f t="shared" si="8"/>
        <v>11</v>
      </c>
    </row>
    <row r="133" spans="1:13" x14ac:dyDescent="0.3">
      <c r="A133" t="s">
        <v>116</v>
      </c>
      <c r="B133" t="s">
        <v>96</v>
      </c>
      <c r="C133" s="4" t="s">
        <v>327</v>
      </c>
      <c r="D133" t="s">
        <v>22</v>
      </c>
      <c r="E133" t="s">
        <v>23</v>
      </c>
      <c r="F133">
        <v>3</v>
      </c>
      <c r="G133">
        <v>711</v>
      </c>
      <c r="H133" t="s">
        <v>37</v>
      </c>
      <c r="I133" t="s">
        <v>32</v>
      </c>
      <c r="J133" t="str">
        <f t="shared" si="9"/>
        <v>Net Banking</v>
      </c>
      <c r="K133" t="s">
        <v>18</v>
      </c>
      <c r="L133">
        <f t="shared" si="7"/>
        <v>2133</v>
      </c>
      <c r="M133" t="str">
        <f t="shared" si="8"/>
        <v>11</v>
      </c>
    </row>
    <row r="134" spans="1:13" x14ac:dyDescent="0.3">
      <c r="A134" t="s">
        <v>117</v>
      </c>
      <c r="B134" t="s">
        <v>212</v>
      </c>
      <c r="C134" s="4" t="s">
        <v>312</v>
      </c>
      <c r="D134" t="s">
        <v>22</v>
      </c>
      <c r="E134" t="s">
        <v>23</v>
      </c>
      <c r="F134">
        <v>2</v>
      </c>
      <c r="G134">
        <v>1111</v>
      </c>
      <c r="H134" t="s">
        <v>64</v>
      </c>
      <c r="I134" t="s">
        <v>14</v>
      </c>
      <c r="J134" t="str">
        <f t="shared" si="9"/>
        <v>Credit Card</v>
      </c>
      <c r="K134" t="s">
        <v>15</v>
      </c>
      <c r="L134">
        <f t="shared" si="7"/>
        <v>2222</v>
      </c>
      <c r="M134" t="str">
        <f t="shared" si="8"/>
        <v>11</v>
      </c>
    </row>
    <row r="135" spans="1:13" x14ac:dyDescent="0.3">
      <c r="A135" t="s">
        <v>119</v>
      </c>
      <c r="B135" t="s">
        <v>179</v>
      </c>
      <c r="C135" s="4" t="s">
        <v>350</v>
      </c>
      <c r="D135" t="s">
        <v>30</v>
      </c>
      <c r="E135" t="s">
        <v>31</v>
      </c>
      <c r="F135">
        <v>3</v>
      </c>
      <c r="G135">
        <v>2511</v>
      </c>
      <c r="H135" t="s">
        <v>67</v>
      </c>
      <c r="I135" t="s">
        <v>32</v>
      </c>
      <c r="J135" t="str">
        <f t="shared" si="9"/>
        <v>Net Banking</v>
      </c>
      <c r="K135" t="s">
        <v>18</v>
      </c>
      <c r="L135">
        <f t="shared" si="7"/>
        <v>7533</v>
      </c>
      <c r="M135" t="str">
        <f t="shared" si="8"/>
        <v>12</v>
      </c>
    </row>
    <row r="136" spans="1:13" x14ac:dyDescent="0.3">
      <c r="A136" t="s">
        <v>121</v>
      </c>
      <c r="B136" t="s">
        <v>88</v>
      </c>
      <c r="C136" s="4" t="s">
        <v>324</v>
      </c>
      <c r="D136" t="s">
        <v>30</v>
      </c>
      <c r="E136" t="s">
        <v>31</v>
      </c>
      <c r="F136">
        <v>4</v>
      </c>
      <c r="G136">
        <v>9111</v>
      </c>
      <c r="H136" t="s">
        <v>24</v>
      </c>
      <c r="I136" t="s">
        <v>32</v>
      </c>
      <c r="J136" t="str">
        <f t="shared" si="9"/>
        <v>Net Banking</v>
      </c>
      <c r="K136" t="s">
        <v>18</v>
      </c>
      <c r="L136">
        <f t="shared" si="7"/>
        <v>36444</v>
      </c>
      <c r="M136" t="str">
        <f t="shared" si="8"/>
        <v>14</v>
      </c>
    </row>
    <row r="137" spans="1:13" x14ac:dyDescent="0.3">
      <c r="A137" t="s">
        <v>122</v>
      </c>
      <c r="B137" t="s">
        <v>212</v>
      </c>
      <c r="C137" s="4" t="s">
        <v>364</v>
      </c>
      <c r="D137" t="s">
        <v>28</v>
      </c>
      <c r="E137" t="s">
        <v>23</v>
      </c>
      <c r="F137">
        <v>3</v>
      </c>
      <c r="G137">
        <v>1211</v>
      </c>
      <c r="H137" t="s">
        <v>19</v>
      </c>
      <c r="I137" t="s">
        <v>38</v>
      </c>
      <c r="J137" t="str">
        <f t="shared" si="9"/>
        <v>Credit Card</v>
      </c>
      <c r="K137" t="s">
        <v>18</v>
      </c>
      <c r="L137">
        <f t="shared" si="7"/>
        <v>3633</v>
      </c>
      <c r="M137" t="str">
        <f t="shared" si="8"/>
        <v>13</v>
      </c>
    </row>
    <row r="138" spans="1:13" x14ac:dyDescent="0.3">
      <c r="A138" t="s">
        <v>124</v>
      </c>
      <c r="B138" t="s">
        <v>125</v>
      </c>
      <c r="C138" s="4" t="s">
        <v>396</v>
      </c>
      <c r="D138" t="s">
        <v>36</v>
      </c>
      <c r="E138" t="s">
        <v>23</v>
      </c>
      <c r="F138">
        <v>3</v>
      </c>
      <c r="G138">
        <v>1211</v>
      </c>
      <c r="H138" t="s">
        <v>24</v>
      </c>
      <c r="I138" t="s">
        <v>32</v>
      </c>
      <c r="J138" t="str">
        <f t="shared" si="9"/>
        <v>Net Banking</v>
      </c>
      <c r="K138" t="s">
        <v>21</v>
      </c>
      <c r="L138">
        <f t="shared" si="7"/>
        <v>3633</v>
      </c>
      <c r="M138" t="str">
        <f t="shared" si="8"/>
        <v>14</v>
      </c>
    </row>
    <row r="139" spans="1:13" x14ac:dyDescent="0.3">
      <c r="A139" t="s">
        <v>126</v>
      </c>
      <c r="B139" t="s">
        <v>189</v>
      </c>
      <c r="C139" s="4" t="s">
        <v>315</v>
      </c>
      <c r="D139" t="s">
        <v>22</v>
      </c>
      <c r="E139" t="s">
        <v>23</v>
      </c>
      <c r="F139">
        <v>2</v>
      </c>
      <c r="G139">
        <v>1111</v>
      </c>
      <c r="H139" t="s">
        <v>29</v>
      </c>
      <c r="I139" t="s">
        <v>25</v>
      </c>
      <c r="J139" t="str">
        <f t="shared" si="9"/>
        <v>Cash</v>
      </c>
      <c r="K139" t="s">
        <v>15</v>
      </c>
      <c r="L139">
        <f t="shared" si="7"/>
        <v>2222</v>
      </c>
      <c r="M139" t="str">
        <f t="shared" si="8"/>
        <v>12</v>
      </c>
    </row>
    <row r="140" spans="1:13" x14ac:dyDescent="0.3">
      <c r="A140" t="s">
        <v>128</v>
      </c>
      <c r="B140" t="s">
        <v>174</v>
      </c>
      <c r="C140" s="4" t="s">
        <v>397</v>
      </c>
      <c r="D140" t="s">
        <v>36</v>
      </c>
      <c r="E140" t="s">
        <v>23</v>
      </c>
      <c r="F140">
        <v>1</v>
      </c>
      <c r="G140">
        <v>3511</v>
      </c>
      <c r="H140" t="s">
        <v>37</v>
      </c>
      <c r="I140" t="s">
        <v>20</v>
      </c>
      <c r="J140" t="str">
        <f>PROPER(TRIM(I141))</f>
        <v>Net Banking</v>
      </c>
      <c r="K140" t="s">
        <v>21</v>
      </c>
      <c r="L140">
        <f t="shared" si="7"/>
        <v>3511</v>
      </c>
      <c r="M140" t="str">
        <f t="shared" si="8"/>
        <v>15</v>
      </c>
    </row>
    <row r="141" spans="1:13" x14ac:dyDescent="0.3">
      <c r="A141" t="s">
        <v>130</v>
      </c>
      <c r="B141" t="s">
        <v>162</v>
      </c>
      <c r="C141" s="4" t="s">
        <v>358</v>
      </c>
      <c r="D141" t="s">
        <v>28</v>
      </c>
      <c r="E141" t="s">
        <v>23</v>
      </c>
      <c r="F141">
        <v>1</v>
      </c>
      <c r="G141">
        <v>711</v>
      </c>
      <c r="H141" t="s">
        <v>24</v>
      </c>
      <c r="I141" t="s">
        <v>32</v>
      </c>
      <c r="J141" t="str">
        <f t="shared" si="9"/>
        <v>Net Banking</v>
      </c>
      <c r="K141" t="s">
        <v>21</v>
      </c>
      <c r="L141">
        <f t="shared" si="7"/>
        <v>711</v>
      </c>
      <c r="M141" t="str">
        <f t="shared" si="8"/>
        <v>11</v>
      </c>
    </row>
    <row r="142" spans="1:13" x14ac:dyDescent="0.3">
      <c r="A142" t="s">
        <v>130</v>
      </c>
      <c r="B142" t="s">
        <v>89</v>
      </c>
      <c r="C142" s="4" t="s">
        <v>398</v>
      </c>
      <c r="D142" t="s">
        <v>10</v>
      </c>
      <c r="E142" t="s">
        <v>11</v>
      </c>
      <c r="F142">
        <v>3</v>
      </c>
      <c r="G142">
        <v>42111</v>
      </c>
      <c r="H142" t="s">
        <v>17</v>
      </c>
      <c r="I142" t="s">
        <v>25</v>
      </c>
      <c r="J142" t="str">
        <f t="shared" si="9"/>
        <v>Cash</v>
      </c>
      <c r="K142" t="s">
        <v>21</v>
      </c>
      <c r="L142">
        <f t="shared" si="7"/>
        <v>126333</v>
      </c>
      <c r="M142" t="str">
        <f t="shared" si="8"/>
        <v>12</v>
      </c>
    </row>
    <row r="143" spans="1:13" x14ac:dyDescent="0.3">
      <c r="A143" t="s">
        <v>133</v>
      </c>
      <c r="B143" t="s">
        <v>109</v>
      </c>
      <c r="C143" s="4" t="s">
        <v>399</v>
      </c>
      <c r="D143" t="s">
        <v>22</v>
      </c>
      <c r="E143" t="s">
        <v>23</v>
      </c>
      <c r="F143">
        <v>2</v>
      </c>
      <c r="G143">
        <v>1111</v>
      </c>
      <c r="H143" t="s">
        <v>29</v>
      </c>
      <c r="I143" t="s">
        <v>20</v>
      </c>
      <c r="J143" t="str">
        <f t="shared" si="9"/>
        <v>Upi</v>
      </c>
      <c r="K143" t="s">
        <v>18</v>
      </c>
      <c r="L143">
        <f t="shared" si="7"/>
        <v>2222</v>
      </c>
      <c r="M143" t="str">
        <f t="shared" si="8"/>
        <v>18</v>
      </c>
    </row>
    <row r="144" spans="1:13" x14ac:dyDescent="0.3">
      <c r="A144" t="s">
        <v>135</v>
      </c>
      <c r="B144" t="s">
        <v>92</v>
      </c>
      <c r="C144" s="4" t="s">
        <v>399</v>
      </c>
      <c r="D144" t="s">
        <v>10</v>
      </c>
      <c r="E144" t="s">
        <v>11</v>
      </c>
      <c r="F144">
        <v>2</v>
      </c>
      <c r="G144">
        <v>42111</v>
      </c>
      <c r="H144" t="s">
        <v>24</v>
      </c>
      <c r="I144" t="s">
        <v>27</v>
      </c>
      <c r="J144" t="str">
        <f t="shared" si="9"/>
        <v>Debit Card</v>
      </c>
      <c r="K144" t="s">
        <v>18</v>
      </c>
      <c r="L144">
        <f t="shared" si="7"/>
        <v>84222</v>
      </c>
      <c r="M144" t="str">
        <f t="shared" si="8"/>
        <v>18</v>
      </c>
    </row>
    <row r="145" spans="1:13" x14ac:dyDescent="0.3">
      <c r="A145" t="s">
        <v>137</v>
      </c>
      <c r="B145" t="s">
        <v>213</v>
      </c>
      <c r="C145" s="4" t="s">
        <v>377</v>
      </c>
      <c r="D145" t="s">
        <v>16</v>
      </c>
      <c r="E145" t="s">
        <v>11</v>
      </c>
      <c r="F145">
        <v>3</v>
      </c>
      <c r="G145">
        <v>61111</v>
      </c>
      <c r="H145" t="s">
        <v>24</v>
      </c>
      <c r="I145" t="s">
        <v>20</v>
      </c>
      <c r="J145" t="str">
        <f t="shared" si="9"/>
        <v>Upi</v>
      </c>
      <c r="K145" t="s">
        <v>21</v>
      </c>
      <c r="L145">
        <f t="shared" si="7"/>
        <v>183333</v>
      </c>
      <c r="M145" t="str">
        <f t="shared" si="8"/>
        <v>17</v>
      </c>
    </row>
    <row r="146" spans="1:13" x14ac:dyDescent="0.3">
      <c r="A146" t="s">
        <v>139</v>
      </c>
      <c r="B146" t="s">
        <v>123</v>
      </c>
      <c r="C146" s="4" t="s">
        <v>386</v>
      </c>
      <c r="D146" t="s">
        <v>22</v>
      </c>
      <c r="E146" t="s">
        <v>23</v>
      </c>
      <c r="F146">
        <v>3</v>
      </c>
      <c r="G146">
        <v>411</v>
      </c>
      <c r="H146" t="s">
        <v>35</v>
      </c>
      <c r="I146" t="s">
        <v>32</v>
      </c>
      <c r="J146" t="str">
        <f t="shared" si="9"/>
        <v>Net Banking</v>
      </c>
      <c r="K146" t="s">
        <v>21</v>
      </c>
      <c r="L146">
        <f t="shared" si="7"/>
        <v>1233</v>
      </c>
      <c r="M146" t="str">
        <f t="shared" si="8"/>
        <v>12</v>
      </c>
    </row>
    <row r="147" spans="1:13" x14ac:dyDescent="0.3">
      <c r="A147" t="s">
        <v>141</v>
      </c>
      <c r="B147" t="s">
        <v>125</v>
      </c>
      <c r="C147" s="4" t="s">
        <v>358</v>
      </c>
      <c r="D147" t="s">
        <v>28</v>
      </c>
      <c r="E147" t="s">
        <v>23</v>
      </c>
      <c r="F147">
        <v>2</v>
      </c>
      <c r="G147">
        <v>711</v>
      </c>
      <c r="H147" t="s">
        <v>66</v>
      </c>
      <c r="I147" t="s">
        <v>14</v>
      </c>
      <c r="J147" t="str">
        <f t="shared" si="9"/>
        <v>Credit Card</v>
      </c>
      <c r="K147" t="s">
        <v>18</v>
      </c>
      <c r="L147">
        <f t="shared" si="7"/>
        <v>1422</v>
      </c>
      <c r="M147" t="str">
        <f t="shared" si="8"/>
        <v>11</v>
      </c>
    </row>
    <row r="148" spans="1:13" x14ac:dyDescent="0.3">
      <c r="A148" t="s">
        <v>142</v>
      </c>
      <c r="B148" t="s">
        <v>214</v>
      </c>
      <c r="C148" s="4" t="s">
        <v>400</v>
      </c>
      <c r="D148" t="s">
        <v>30</v>
      </c>
      <c r="E148" t="s">
        <v>31</v>
      </c>
      <c r="F148">
        <v>1</v>
      </c>
      <c r="G148">
        <v>4111</v>
      </c>
      <c r="H148" t="s">
        <v>35</v>
      </c>
      <c r="I148" t="s">
        <v>32</v>
      </c>
      <c r="J148" t="str">
        <f t="shared" si="9"/>
        <v>Net Banking</v>
      </c>
      <c r="K148" t="s">
        <v>15</v>
      </c>
      <c r="L148">
        <f t="shared" si="7"/>
        <v>4111</v>
      </c>
      <c r="M148" t="str">
        <f t="shared" si="8"/>
        <v>19</v>
      </c>
    </row>
    <row r="149" spans="1:13" x14ac:dyDescent="0.3">
      <c r="A149" t="s">
        <v>144</v>
      </c>
      <c r="B149" t="s">
        <v>158</v>
      </c>
      <c r="C149" s="4" t="s">
        <v>337</v>
      </c>
      <c r="D149" t="s">
        <v>30</v>
      </c>
      <c r="E149" t="s">
        <v>31</v>
      </c>
      <c r="F149">
        <v>3</v>
      </c>
      <c r="G149">
        <v>2511</v>
      </c>
      <c r="H149" t="s">
        <v>13</v>
      </c>
      <c r="I149" t="s">
        <v>32</v>
      </c>
      <c r="J149" t="str">
        <f t="shared" si="9"/>
        <v>Net Banking</v>
      </c>
      <c r="K149" t="s">
        <v>15</v>
      </c>
      <c r="L149">
        <f t="shared" si="7"/>
        <v>7533</v>
      </c>
      <c r="M149" t="str">
        <f t="shared" si="8"/>
        <v>18</v>
      </c>
    </row>
    <row r="150" spans="1:13" x14ac:dyDescent="0.3">
      <c r="A150" t="s">
        <v>145</v>
      </c>
      <c r="B150" t="s">
        <v>76</v>
      </c>
      <c r="C150" s="4" t="s">
        <v>401</v>
      </c>
      <c r="D150" t="s">
        <v>10</v>
      </c>
      <c r="E150" t="s">
        <v>11</v>
      </c>
      <c r="F150">
        <v>4</v>
      </c>
      <c r="G150">
        <v>31111</v>
      </c>
      <c r="H150" t="s">
        <v>19</v>
      </c>
      <c r="I150" t="s">
        <v>20</v>
      </c>
      <c r="J150" t="str">
        <f>PROPER(TRIM(I151))</f>
        <v>Net Banking</v>
      </c>
      <c r="K150" t="s">
        <v>21</v>
      </c>
      <c r="L150">
        <f t="shared" si="7"/>
        <v>124444</v>
      </c>
      <c r="M150" t="str">
        <f t="shared" si="8"/>
        <v>18</v>
      </c>
    </row>
    <row r="151" spans="1:13" x14ac:dyDescent="0.3">
      <c r="A151" t="s">
        <v>147</v>
      </c>
      <c r="B151" t="s">
        <v>78</v>
      </c>
      <c r="C151" s="4" t="s">
        <v>355</v>
      </c>
      <c r="D151" t="s">
        <v>36</v>
      </c>
      <c r="E151" t="s">
        <v>23</v>
      </c>
      <c r="F151">
        <v>3</v>
      </c>
      <c r="G151">
        <v>3511</v>
      </c>
      <c r="H151" t="s">
        <v>19</v>
      </c>
      <c r="I151" t="s">
        <v>32</v>
      </c>
      <c r="J151" t="str">
        <f t="shared" si="9"/>
        <v>Net Banking</v>
      </c>
      <c r="K151" t="s">
        <v>18</v>
      </c>
      <c r="L151">
        <f t="shared" si="7"/>
        <v>10533</v>
      </c>
      <c r="M151" t="str">
        <f t="shared" si="8"/>
        <v>16</v>
      </c>
    </row>
    <row r="152" spans="1:13" x14ac:dyDescent="0.3">
      <c r="A152" t="s">
        <v>147</v>
      </c>
      <c r="B152" t="s">
        <v>101</v>
      </c>
      <c r="C152" s="4" t="s">
        <v>320</v>
      </c>
      <c r="D152" t="s">
        <v>28</v>
      </c>
      <c r="E152" t="s">
        <v>23</v>
      </c>
      <c r="F152">
        <v>2</v>
      </c>
      <c r="G152">
        <v>1211</v>
      </c>
      <c r="H152" t="s">
        <v>37</v>
      </c>
      <c r="I152" t="s">
        <v>14</v>
      </c>
      <c r="J152" t="str">
        <f t="shared" si="9"/>
        <v>Credit Card</v>
      </c>
      <c r="K152" t="s">
        <v>15</v>
      </c>
      <c r="L152">
        <f t="shared" si="7"/>
        <v>2422</v>
      </c>
      <c r="M152" t="str">
        <f t="shared" si="8"/>
        <v>11</v>
      </c>
    </row>
    <row r="153" spans="1:13" x14ac:dyDescent="0.3">
      <c r="A153" t="s">
        <v>150</v>
      </c>
      <c r="B153" t="s">
        <v>123</v>
      </c>
      <c r="C153" s="4" t="s">
        <v>402</v>
      </c>
      <c r="D153" t="s">
        <v>10</v>
      </c>
      <c r="E153" t="s">
        <v>11</v>
      </c>
      <c r="F153">
        <v>1</v>
      </c>
      <c r="G153">
        <v>42111</v>
      </c>
      <c r="H153" t="s">
        <v>67</v>
      </c>
      <c r="I153" t="s">
        <v>20</v>
      </c>
      <c r="J153" t="str">
        <f t="shared" si="9"/>
        <v>Upi</v>
      </c>
      <c r="K153" t="s">
        <v>15</v>
      </c>
      <c r="L153">
        <f t="shared" si="7"/>
        <v>42111</v>
      </c>
      <c r="M153" t="str">
        <f t="shared" si="8"/>
        <v>14</v>
      </c>
    </row>
    <row r="154" spans="1:13" x14ac:dyDescent="0.3">
      <c r="A154" t="s">
        <v>152</v>
      </c>
      <c r="B154" t="s">
        <v>179</v>
      </c>
      <c r="C154" s="4" t="s">
        <v>340</v>
      </c>
      <c r="D154" t="s">
        <v>22</v>
      </c>
      <c r="E154" t="s">
        <v>23</v>
      </c>
      <c r="F154">
        <v>2</v>
      </c>
      <c r="G154">
        <v>411</v>
      </c>
      <c r="H154" t="s">
        <v>17</v>
      </c>
      <c r="I154" t="s">
        <v>25</v>
      </c>
      <c r="J154" t="str">
        <f t="shared" si="9"/>
        <v>Cash</v>
      </c>
      <c r="K154" t="s">
        <v>21</v>
      </c>
      <c r="L154">
        <f t="shared" si="7"/>
        <v>822</v>
      </c>
      <c r="M154" t="str">
        <f t="shared" si="8"/>
        <v>15</v>
      </c>
    </row>
    <row r="155" spans="1:13" x14ac:dyDescent="0.3">
      <c r="A155" t="s">
        <v>153</v>
      </c>
      <c r="B155" t="s">
        <v>215</v>
      </c>
      <c r="C155" s="4" t="s">
        <v>403</v>
      </c>
      <c r="D155" t="s">
        <v>30</v>
      </c>
      <c r="E155" t="s">
        <v>31</v>
      </c>
      <c r="F155">
        <v>1</v>
      </c>
      <c r="G155">
        <v>6511</v>
      </c>
      <c r="H155" t="s">
        <v>35</v>
      </c>
      <c r="I155" t="s">
        <v>14</v>
      </c>
      <c r="J155" t="str">
        <f t="shared" si="9"/>
        <v>Credit Card</v>
      </c>
      <c r="K155" t="s">
        <v>15</v>
      </c>
      <c r="L155">
        <f t="shared" si="7"/>
        <v>6511</v>
      </c>
      <c r="M155" t="str">
        <f t="shared" si="8"/>
        <v>17</v>
      </c>
    </row>
    <row r="156" spans="1:13" x14ac:dyDescent="0.3">
      <c r="A156" t="s">
        <v>154</v>
      </c>
      <c r="B156" t="s">
        <v>99</v>
      </c>
      <c r="C156" s="4" t="s">
        <v>404</v>
      </c>
      <c r="D156" t="s">
        <v>22</v>
      </c>
      <c r="E156" t="s">
        <v>23</v>
      </c>
      <c r="F156">
        <v>2</v>
      </c>
      <c r="G156">
        <v>1111</v>
      </c>
      <c r="H156" t="s">
        <v>29</v>
      </c>
      <c r="I156" t="s">
        <v>20</v>
      </c>
      <c r="J156" t="str">
        <f t="shared" si="9"/>
        <v>Upi</v>
      </c>
      <c r="K156" t="s">
        <v>18</v>
      </c>
      <c r="L156">
        <f t="shared" si="7"/>
        <v>2222</v>
      </c>
      <c r="M156" t="str">
        <f t="shared" si="8"/>
        <v>15</v>
      </c>
    </row>
    <row r="157" spans="1:13" x14ac:dyDescent="0.3">
      <c r="A157" t="s">
        <v>156</v>
      </c>
      <c r="B157" t="s">
        <v>216</v>
      </c>
      <c r="C157" s="4" t="s">
        <v>405</v>
      </c>
      <c r="D157" t="s">
        <v>26</v>
      </c>
      <c r="E157" t="s">
        <v>11</v>
      </c>
      <c r="F157">
        <v>1</v>
      </c>
      <c r="G157">
        <v>9111</v>
      </c>
      <c r="H157" t="s">
        <v>67</v>
      </c>
      <c r="I157" t="s">
        <v>25</v>
      </c>
      <c r="J157" t="str">
        <f t="shared" si="9"/>
        <v>Cash</v>
      </c>
      <c r="K157" t="s">
        <v>15</v>
      </c>
      <c r="L157">
        <f t="shared" si="7"/>
        <v>9111</v>
      </c>
      <c r="M157" t="str">
        <f t="shared" si="8"/>
        <v>11</v>
      </c>
    </row>
    <row r="158" spans="1:13" x14ac:dyDescent="0.3">
      <c r="A158" t="s">
        <v>157</v>
      </c>
      <c r="B158" t="s">
        <v>210</v>
      </c>
      <c r="C158" s="4" t="s">
        <v>406</v>
      </c>
      <c r="D158" t="s">
        <v>26</v>
      </c>
      <c r="E158" t="s">
        <v>11</v>
      </c>
      <c r="F158">
        <v>3</v>
      </c>
      <c r="G158">
        <v>22111</v>
      </c>
      <c r="H158" t="s">
        <v>29</v>
      </c>
      <c r="I158" t="s">
        <v>27</v>
      </c>
      <c r="J158" t="str">
        <f t="shared" si="9"/>
        <v>Debit Card</v>
      </c>
      <c r="K158" t="s">
        <v>18</v>
      </c>
      <c r="L158">
        <f t="shared" si="7"/>
        <v>66333</v>
      </c>
      <c r="M158" t="str">
        <f t="shared" si="8"/>
        <v>17</v>
      </c>
    </row>
    <row r="159" spans="1:13" x14ac:dyDescent="0.3">
      <c r="A159" t="s">
        <v>159</v>
      </c>
      <c r="B159" t="s">
        <v>99</v>
      </c>
      <c r="C159" s="4" t="s">
        <v>407</v>
      </c>
      <c r="D159" t="s">
        <v>30</v>
      </c>
      <c r="E159" t="s">
        <v>31</v>
      </c>
      <c r="F159">
        <v>3</v>
      </c>
      <c r="G159">
        <v>9111</v>
      </c>
      <c r="H159" t="s">
        <v>29</v>
      </c>
      <c r="I159" t="s">
        <v>27</v>
      </c>
      <c r="J159" t="str">
        <f t="shared" si="9"/>
        <v>Debit Card</v>
      </c>
      <c r="K159" t="s">
        <v>18</v>
      </c>
      <c r="L159">
        <f t="shared" si="7"/>
        <v>27333</v>
      </c>
      <c r="M159" t="str">
        <f t="shared" si="8"/>
        <v>16</v>
      </c>
    </row>
    <row r="160" spans="1:13" x14ac:dyDescent="0.3">
      <c r="A160" t="s">
        <v>160</v>
      </c>
      <c r="B160" t="s">
        <v>89</v>
      </c>
      <c r="C160" s="4" t="s">
        <v>392</v>
      </c>
      <c r="D160" t="s">
        <v>16</v>
      </c>
      <c r="E160" t="s">
        <v>11</v>
      </c>
      <c r="F160">
        <v>2</v>
      </c>
      <c r="G160">
        <v>52111</v>
      </c>
      <c r="H160" t="s">
        <v>67</v>
      </c>
      <c r="I160" t="s">
        <v>25</v>
      </c>
      <c r="J160" t="str">
        <f>PROPER(TRIM(I161))</f>
        <v>Net Banking</v>
      </c>
      <c r="K160" t="s">
        <v>21</v>
      </c>
      <c r="L160">
        <f t="shared" si="7"/>
        <v>104222</v>
      </c>
      <c r="M160" t="str">
        <f t="shared" si="8"/>
        <v>14</v>
      </c>
    </row>
    <row r="161" spans="1:13" x14ac:dyDescent="0.3">
      <c r="A161" t="s">
        <v>161</v>
      </c>
      <c r="B161" t="s">
        <v>87</v>
      </c>
      <c r="C161" s="4" t="s">
        <v>408</v>
      </c>
      <c r="D161" t="s">
        <v>28</v>
      </c>
      <c r="E161" t="s">
        <v>23</v>
      </c>
      <c r="F161">
        <v>4</v>
      </c>
      <c r="G161">
        <v>1811</v>
      </c>
      <c r="H161" t="s">
        <v>17</v>
      </c>
      <c r="I161" t="s">
        <v>32</v>
      </c>
      <c r="J161" t="str">
        <f t="shared" si="9"/>
        <v>Net Banking</v>
      </c>
      <c r="K161" t="s">
        <v>18</v>
      </c>
      <c r="L161">
        <f t="shared" si="7"/>
        <v>7244</v>
      </c>
      <c r="M161" t="str">
        <f t="shared" si="8"/>
        <v>16</v>
      </c>
    </row>
    <row r="162" spans="1:13" x14ac:dyDescent="0.3">
      <c r="A162" t="s">
        <v>161</v>
      </c>
      <c r="B162" t="s">
        <v>217</v>
      </c>
      <c r="C162" s="4" t="s">
        <v>409</v>
      </c>
      <c r="D162" t="s">
        <v>36</v>
      </c>
      <c r="E162" t="s">
        <v>23</v>
      </c>
      <c r="F162">
        <v>1</v>
      </c>
      <c r="G162">
        <v>1211</v>
      </c>
      <c r="H162" t="s">
        <v>37</v>
      </c>
      <c r="I162" t="s">
        <v>14</v>
      </c>
      <c r="J162" t="str">
        <f t="shared" si="9"/>
        <v>Credit Card</v>
      </c>
      <c r="K162" t="s">
        <v>21</v>
      </c>
      <c r="L162">
        <f t="shared" si="7"/>
        <v>1211</v>
      </c>
      <c r="M162" t="str">
        <f t="shared" si="8"/>
        <v>12</v>
      </c>
    </row>
    <row r="163" spans="1:13" x14ac:dyDescent="0.3">
      <c r="A163" t="s">
        <v>163</v>
      </c>
      <c r="B163" t="s">
        <v>216</v>
      </c>
      <c r="C163" s="4" t="s">
        <v>410</v>
      </c>
      <c r="D163" t="s">
        <v>30</v>
      </c>
      <c r="E163" t="s">
        <v>31</v>
      </c>
      <c r="F163">
        <v>3</v>
      </c>
      <c r="G163">
        <v>2511</v>
      </c>
      <c r="H163" t="s">
        <v>24</v>
      </c>
      <c r="I163" t="s">
        <v>32</v>
      </c>
      <c r="J163" t="str">
        <f t="shared" si="9"/>
        <v>Net Banking</v>
      </c>
      <c r="K163" t="s">
        <v>18</v>
      </c>
      <c r="L163">
        <f t="shared" si="7"/>
        <v>7533</v>
      </c>
      <c r="M163" t="str">
        <f t="shared" si="8"/>
        <v>19</v>
      </c>
    </row>
    <row r="164" spans="1:13" x14ac:dyDescent="0.3">
      <c r="A164" t="s">
        <v>164</v>
      </c>
      <c r="B164" t="s">
        <v>138</v>
      </c>
      <c r="C164" s="4" t="s">
        <v>389</v>
      </c>
      <c r="D164" t="s">
        <v>16</v>
      </c>
      <c r="E164" t="s">
        <v>11</v>
      </c>
      <c r="F164">
        <v>4</v>
      </c>
      <c r="G164">
        <v>52111</v>
      </c>
      <c r="H164" t="s">
        <v>19</v>
      </c>
      <c r="I164" t="s">
        <v>20</v>
      </c>
      <c r="J164" t="str">
        <f t="shared" si="9"/>
        <v>Upi</v>
      </c>
      <c r="K164" t="s">
        <v>18</v>
      </c>
      <c r="L164">
        <f t="shared" si="7"/>
        <v>208444</v>
      </c>
      <c r="M164" t="str">
        <f t="shared" si="8"/>
        <v>17</v>
      </c>
    </row>
    <row r="165" spans="1:13" x14ac:dyDescent="0.3">
      <c r="A165" t="s">
        <v>165</v>
      </c>
      <c r="B165" t="s">
        <v>76</v>
      </c>
      <c r="C165" s="4" t="s">
        <v>411</v>
      </c>
      <c r="D165" t="s">
        <v>34</v>
      </c>
      <c r="E165" t="s">
        <v>11</v>
      </c>
      <c r="F165">
        <v>4</v>
      </c>
      <c r="G165">
        <v>12111</v>
      </c>
      <c r="H165" t="s">
        <v>35</v>
      </c>
      <c r="I165" t="s">
        <v>20</v>
      </c>
      <c r="J165" t="str">
        <f t="shared" si="9"/>
        <v>Upi</v>
      </c>
      <c r="K165" t="s">
        <v>21</v>
      </c>
      <c r="L165">
        <f t="shared" si="7"/>
        <v>48444</v>
      </c>
      <c r="M165" t="str">
        <f t="shared" si="8"/>
        <v>17</v>
      </c>
    </row>
    <row r="166" spans="1:13" x14ac:dyDescent="0.3">
      <c r="A166" t="s">
        <v>167</v>
      </c>
      <c r="B166" t="s">
        <v>155</v>
      </c>
      <c r="C166" s="4" t="s">
        <v>324</v>
      </c>
      <c r="D166" t="s">
        <v>16</v>
      </c>
      <c r="E166" t="s">
        <v>11</v>
      </c>
      <c r="F166">
        <v>2</v>
      </c>
      <c r="G166">
        <v>45111</v>
      </c>
      <c r="H166" t="s">
        <v>35</v>
      </c>
      <c r="I166" t="s">
        <v>27</v>
      </c>
      <c r="J166" t="str">
        <f t="shared" si="9"/>
        <v>Debit Card</v>
      </c>
      <c r="K166" t="s">
        <v>15</v>
      </c>
      <c r="L166">
        <f t="shared" si="7"/>
        <v>90222</v>
      </c>
      <c r="M166" t="str">
        <f t="shared" si="8"/>
        <v>14</v>
      </c>
    </row>
    <row r="167" spans="1:13" x14ac:dyDescent="0.3">
      <c r="A167" t="s">
        <v>168</v>
      </c>
      <c r="B167" t="s">
        <v>217</v>
      </c>
      <c r="C167" s="4" t="s">
        <v>407</v>
      </c>
      <c r="D167" t="s">
        <v>10</v>
      </c>
      <c r="E167" t="s">
        <v>11</v>
      </c>
      <c r="F167">
        <v>3</v>
      </c>
      <c r="G167">
        <v>22111</v>
      </c>
      <c r="H167" t="s">
        <v>67</v>
      </c>
      <c r="I167" t="s">
        <v>32</v>
      </c>
      <c r="J167" t="str">
        <f t="shared" si="9"/>
        <v>Net Banking</v>
      </c>
      <c r="K167" t="s">
        <v>18</v>
      </c>
      <c r="L167">
        <f t="shared" si="7"/>
        <v>66333</v>
      </c>
      <c r="M167" t="str">
        <f t="shared" si="8"/>
        <v>16</v>
      </c>
    </row>
    <row r="168" spans="1:13" x14ac:dyDescent="0.3">
      <c r="A168" t="s">
        <v>169</v>
      </c>
      <c r="B168" t="s">
        <v>111</v>
      </c>
      <c r="C168" s="4" t="s">
        <v>313</v>
      </c>
      <c r="D168" t="s">
        <v>26</v>
      </c>
      <c r="E168" t="s">
        <v>11</v>
      </c>
      <c r="F168">
        <v>4</v>
      </c>
      <c r="G168">
        <v>22111</v>
      </c>
      <c r="H168" t="s">
        <v>19</v>
      </c>
      <c r="I168" t="s">
        <v>27</v>
      </c>
      <c r="J168" t="str">
        <f t="shared" si="9"/>
        <v>Debit Card</v>
      </c>
      <c r="K168" t="s">
        <v>15</v>
      </c>
      <c r="L168">
        <f t="shared" si="7"/>
        <v>88444</v>
      </c>
      <c r="M168" t="str">
        <f t="shared" si="8"/>
        <v>16</v>
      </c>
    </row>
    <row r="169" spans="1:13" x14ac:dyDescent="0.3">
      <c r="A169" t="s">
        <v>170</v>
      </c>
      <c r="B169" t="s">
        <v>101</v>
      </c>
      <c r="C169" s="4" t="s">
        <v>381</v>
      </c>
      <c r="D169" t="s">
        <v>22</v>
      </c>
      <c r="E169" t="s">
        <v>23</v>
      </c>
      <c r="F169">
        <v>4</v>
      </c>
      <c r="G169">
        <v>711</v>
      </c>
      <c r="H169" t="s">
        <v>24</v>
      </c>
      <c r="I169" t="s">
        <v>14</v>
      </c>
      <c r="J169" t="str">
        <f t="shared" si="9"/>
        <v>Credit Card</v>
      </c>
      <c r="K169" t="s">
        <v>21</v>
      </c>
      <c r="L169">
        <f t="shared" si="7"/>
        <v>2844</v>
      </c>
      <c r="M169" t="str">
        <f t="shared" si="8"/>
        <v>12</v>
      </c>
    </row>
    <row r="170" spans="1:13" x14ac:dyDescent="0.3">
      <c r="A170" t="s">
        <v>171</v>
      </c>
      <c r="B170" t="s">
        <v>70</v>
      </c>
      <c r="C170" s="4" t="s">
        <v>411</v>
      </c>
      <c r="D170" t="s">
        <v>10</v>
      </c>
      <c r="E170" t="s">
        <v>11</v>
      </c>
      <c r="F170">
        <v>1</v>
      </c>
      <c r="G170">
        <v>22111</v>
      </c>
      <c r="H170" t="s">
        <v>13</v>
      </c>
      <c r="I170" t="s">
        <v>20</v>
      </c>
      <c r="J170" t="str">
        <f>PROPER(TRIM(I171))</f>
        <v>Debit Card</v>
      </c>
      <c r="K170" t="s">
        <v>18</v>
      </c>
      <c r="L170">
        <f t="shared" si="7"/>
        <v>22111</v>
      </c>
      <c r="M170" t="str">
        <f t="shared" si="8"/>
        <v>17</v>
      </c>
    </row>
    <row r="171" spans="1:13" x14ac:dyDescent="0.3">
      <c r="A171" t="s">
        <v>172</v>
      </c>
      <c r="B171" t="s">
        <v>70</v>
      </c>
      <c r="C171" s="4" t="s">
        <v>412</v>
      </c>
      <c r="D171" t="s">
        <v>30</v>
      </c>
      <c r="E171" t="s">
        <v>31</v>
      </c>
      <c r="F171">
        <v>3</v>
      </c>
      <c r="G171">
        <v>9111</v>
      </c>
      <c r="H171" t="s">
        <v>65</v>
      </c>
      <c r="I171" t="s">
        <v>27</v>
      </c>
      <c r="J171" t="str">
        <f t="shared" si="9"/>
        <v>Debit Card</v>
      </c>
      <c r="K171" t="s">
        <v>21</v>
      </c>
      <c r="L171">
        <f t="shared" si="7"/>
        <v>27333</v>
      </c>
      <c r="M171" t="str">
        <f t="shared" si="8"/>
        <v>12</v>
      </c>
    </row>
    <row r="172" spans="1:13" x14ac:dyDescent="0.3">
      <c r="A172" t="s">
        <v>172</v>
      </c>
      <c r="B172" t="s">
        <v>76</v>
      </c>
      <c r="C172" s="4" t="s">
        <v>325</v>
      </c>
      <c r="D172" t="s">
        <v>10</v>
      </c>
      <c r="E172" t="s">
        <v>11</v>
      </c>
      <c r="F172">
        <v>3</v>
      </c>
      <c r="G172">
        <v>15111</v>
      </c>
      <c r="H172" t="s">
        <v>17</v>
      </c>
      <c r="I172" t="s">
        <v>14</v>
      </c>
      <c r="J172" t="str">
        <f t="shared" si="9"/>
        <v>Credit Card</v>
      </c>
      <c r="K172" t="s">
        <v>18</v>
      </c>
      <c r="L172">
        <f t="shared" si="7"/>
        <v>45333</v>
      </c>
      <c r="M172" t="str">
        <f t="shared" si="8"/>
        <v>12</v>
      </c>
    </row>
    <row r="173" spans="1:13" x14ac:dyDescent="0.3">
      <c r="A173" t="s">
        <v>175</v>
      </c>
      <c r="B173" t="s">
        <v>118</v>
      </c>
      <c r="C173" s="4" t="s">
        <v>391</v>
      </c>
      <c r="D173" t="s">
        <v>22</v>
      </c>
      <c r="E173" t="s">
        <v>23</v>
      </c>
      <c r="F173">
        <v>3</v>
      </c>
      <c r="G173">
        <v>711</v>
      </c>
      <c r="H173" t="s">
        <v>29</v>
      </c>
      <c r="I173" t="s">
        <v>27</v>
      </c>
      <c r="J173" t="str">
        <f t="shared" si="9"/>
        <v>Debit Card</v>
      </c>
      <c r="K173" t="s">
        <v>15</v>
      </c>
      <c r="L173">
        <f t="shared" si="7"/>
        <v>2133</v>
      </c>
      <c r="M173" t="str">
        <f t="shared" si="8"/>
        <v>19</v>
      </c>
    </row>
    <row r="174" spans="1:13" x14ac:dyDescent="0.3">
      <c r="A174" t="s">
        <v>176</v>
      </c>
      <c r="B174" t="s">
        <v>97</v>
      </c>
      <c r="C174" s="4" t="s">
        <v>378</v>
      </c>
      <c r="D174" t="s">
        <v>30</v>
      </c>
      <c r="E174" t="s">
        <v>31</v>
      </c>
      <c r="F174">
        <v>2</v>
      </c>
      <c r="G174">
        <v>9111</v>
      </c>
      <c r="H174" t="s">
        <v>29</v>
      </c>
      <c r="I174" t="s">
        <v>25</v>
      </c>
      <c r="J174" t="str">
        <f t="shared" si="9"/>
        <v>Cash</v>
      </c>
      <c r="K174" t="s">
        <v>21</v>
      </c>
      <c r="L174">
        <f t="shared" si="7"/>
        <v>18222</v>
      </c>
      <c r="M174" t="str">
        <f t="shared" si="8"/>
        <v>16</v>
      </c>
    </row>
    <row r="175" spans="1:13" x14ac:dyDescent="0.3">
      <c r="A175" t="s">
        <v>177</v>
      </c>
      <c r="B175" t="s">
        <v>211</v>
      </c>
      <c r="C175" s="4" t="s">
        <v>412</v>
      </c>
      <c r="D175" t="s">
        <v>36</v>
      </c>
      <c r="E175" t="s">
        <v>23</v>
      </c>
      <c r="F175">
        <v>3</v>
      </c>
      <c r="G175">
        <v>3511</v>
      </c>
      <c r="H175" t="s">
        <v>35</v>
      </c>
      <c r="I175" t="s">
        <v>32</v>
      </c>
      <c r="J175" t="str">
        <f t="shared" si="9"/>
        <v>Net Banking</v>
      </c>
      <c r="K175" t="s">
        <v>15</v>
      </c>
      <c r="L175">
        <f t="shared" si="7"/>
        <v>10533</v>
      </c>
      <c r="M175" t="str">
        <f t="shared" si="8"/>
        <v>12</v>
      </c>
    </row>
    <row r="176" spans="1:13" x14ac:dyDescent="0.3">
      <c r="A176" t="s">
        <v>178</v>
      </c>
      <c r="B176" t="s">
        <v>146</v>
      </c>
      <c r="C176" s="4" t="s">
        <v>413</v>
      </c>
      <c r="D176" t="s">
        <v>26</v>
      </c>
      <c r="E176" t="s">
        <v>11</v>
      </c>
      <c r="F176">
        <v>4</v>
      </c>
      <c r="G176">
        <v>12111</v>
      </c>
      <c r="H176" t="s">
        <v>67</v>
      </c>
      <c r="I176" t="s">
        <v>25</v>
      </c>
      <c r="J176" t="str">
        <f t="shared" si="9"/>
        <v>Cash</v>
      </c>
      <c r="K176" t="s">
        <v>18</v>
      </c>
      <c r="L176">
        <f t="shared" si="7"/>
        <v>48444</v>
      </c>
      <c r="M176" t="str">
        <f t="shared" si="8"/>
        <v>18</v>
      </c>
    </row>
    <row r="177" spans="1:13" x14ac:dyDescent="0.3">
      <c r="A177" t="s">
        <v>180</v>
      </c>
      <c r="B177" t="s">
        <v>120</v>
      </c>
      <c r="C177" s="4" t="s">
        <v>325</v>
      </c>
      <c r="D177" t="s">
        <v>10</v>
      </c>
      <c r="E177" t="s">
        <v>11</v>
      </c>
      <c r="F177">
        <v>4</v>
      </c>
      <c r="G177">
        <v>22111</v>
      </c>
      <c r="H177" t="s">
        <v>35</v>
      </c>
      <c r="I177" t="s">
        <v>39</v>
      </c>
      <c r="J177" t="str">
        <f t="shared" si="9"/>
        <v>Upi</v>
      </c>
      <c r="K177" t="s">
        <v>18</v>
      </c>
      <c r="L177">
        <f t="shared" si="7"/>
        <v>88444</v>
      </c>
      <c r="M177" t="str">
        <f t="shared" si="8"/>
        <v>12</v>
      </c>
    </row>
    <row r="178" spans="1:13" x14ac:dyDescent="0.3">
      <c r="A178" t="s">
        <v>182</v>
      </c>
      <c r="B178" t="s">
        <v>174</v>
      </c>
      <c r="C178" s="4" t="s">
        <v>329</v>
      </c>
      <c r="D178" t="s">
        <v>34</v>
      </c>
      <c r="E178" t="s">
        <v>11</v>
      </c>
      <c r="F178">
        <v>1</v>
      </c>
      <c r="G178">
        <v>18111</v>
      </c>
      <c r="H178" t="s">
        <v>19</v>
      </c>
      <c r="I178" t="s">
        <v>27</v>
      </c>
      <c r="J178" t="str">
        <f t="shared" si="9"/>
        <v>Debit Card</v>
      </c>
      <c r="K178" t="s">
        <v>18</v>
      </c>
      <c r="L178">
        <f t="shared" si="7"/>
        <v>18111</v>
      </c>
      <c r="M178" t="str">
        <f t="shared" si="8"/>
        <v>11</v>
      </c>
    </row>
    <row r="179" spans="1:13" x14ac:dyDescent="0.3">
      <c r="A179" t="s">
        <v>184</v>
      </c>
      <c r="B179" t="s">
        <v>78</v>
      </c>
      <c r="C179" s="4" t="s">
        <v>414</v>
      </c>
      <c r="D179" t="s">
        <v>10</v>
      </c>
      <c r="E179" t="s">
        <v>11</v>
      </c>
      <c r="F179">
        <v>1</v>
      </c>
      <c r="G179">
        <v>31111</v>
      </c>
      <c r="H179" t="s">
        <v>17</v>
      </c>
      <c r="I179" t="s">
        <v>27</v>
      </c>
      <c r="J179" t="str">
        <f t="shared" si="9"/>
        <v>Debit Card</v>
      </c>
      <c r="K179" t="s">
        <v>15</v>
      </c>
      <c r="L179">
        <f t="shared" si="7"/>
        <v>31111</v>
      </c>
      <c r="M179" t="str">
        <f t="shared" si="8"/>
        <v>17</v>
      </c>
    </row>
    <row r="180" spans="1:13" x14ac:dyDescent="0.3">
      <c r="A180" t="s">
        <v>185</v>
      </c>
      <c r="B180" t="s">
        <v>129</v>
      </c>
      <c r="C180" s="4" t="s">
        <v>415</v>
      </c>
      <c r="D180" t="s">
        <v>30</v>
      </c>
      <c r="E180" t="s">
        <v>31</v>
      </c>
      <c r="F180">
        <v>1</v>
      </c>
      <c r="G180">
        <v>6511</v>
      </c>
      <c r="H180" t="s">
        <v>67</v>
      </c>
      <c r="I180" t="s">
        <v>32</v>
      </c>
      <c r="J180" t="str">
        <f>PROPER(TRIM(I181))</f>
        <v>Credit Card</v>
      </c>
      <c r="K180" t="s">
        <v>18</v>
      </c>
      <c r="L180">
        <f t="shared" si="7"/>
        <v>6511</v>
      </c>
      <c r="M180" t="str">
        <f t="shared" si="8"/>
        <v>16</v>
      </c>
    </row>
    <row r="181" spans="1:13" x14ac:dyDescent="0.3">
      <c r="A181" t="s">
        <v>186</v>
      </c>
      <c r="B181" t="s">
        <v>148</v>
      </c>
      <c r="C181" s="4" t="s">
        <v>314</v>
      </c>
      <c r="D181" t="s">
        <v>26</v>
      </c>
      <c r="E181" t="s">
        <v>11</v>
      </c>
      <c r="F181">
        <v>4</v>
      </c>
      <c r="G181">
        <v>16111</v>
      </c>
      <c r="H181" t="s">
        <v>13</v>
      </c>
      <c r="I181" t="s">
        <v>14</v>
      </c>
      <c r="J181" t="str">
        <f t="shared" si="9"/>
        <v>Credit Card</v>
      </c>
      <c r="K181" t="s">
        <v>21</v>
      </c>
      <c r="L181">
        <f t="shared" si="7"/>
        <v>64444</v>
      </c>
      <c r="M181" t="str">
        <f t="shared" si="8"/>
        <v>11</v>
      </c>
    </row>
    <row r="182" spans="1:13" x14ac:dyDescent="0.3">
      <c r="A182" t="s">
        <v>186</v>
      </c>
      <c r="B182" t="s">
        <v>90</v>
      </c>
      <c r="C182" s="4" t="s">
        <v>416</v>
      </c>
      <c r="D182" t="s">
        <v>28</v>
      </c>
      <c r="E182" t="s">
        <v>23</v>
      </c>
      <c r="F182">
        <v>2</v>
      </c>
      <c r="G182">
        <v>1211</v>
      </c>
      <c r="H182" t="s">
        <v>19</v>
      </c>
      <c r="I182" t="s">
        <v>25</v>
      </c>
      <c r="J182" t="str">
        <f t="shared" si="9"/>
        <v>Cash</v>
      </c>
      <c r="K182" t="s">
        <v>15</v>
      </c>
      <c r="L182">
        <f t="shared" si="7"/>
        <v>2422</v>
      </c>
      <c r="M182" t="str">
        <f t="shared" si="8"/>
        <v>11</v>
      </c>
    </row>
    <row r="183" spans="1:13" x14ac:dyDescent="0.3">
      <c r="A183" t="s">
        <v>187</v>
      </c>
      <c r="B183" t="s">
        <v>70</v>
      </c>
      <c r="C183" s="4" t="s">
        <v>383</v>
      </c>
      <c r="D183" t="s">
        <v>28</v>
      </c>
      <c r="E183" t="s">
        <v>23</v>
      </c>
      <c r="F183">
        <v>4</v>
      </c>
      <c r="G183">
        <v>1811</v>
      </c>
      <c r="H183" t="s">
        <v>17</v>
      </c>
      <c r="I183" t="s">
        <v>27</v>
      </c>
      <c r="J183" t="str">
        <f t="shared" si="9"/>
        <v>Debit Card</v>
      </c>
      <c r="K183" t="s">
        <v>18</v>
      </c>
      <c r="L183">
        <f t="shared" si="7"/>
        <v>7244</v>
      </c>
      <c r="M183" t="str">
        <f t="shared" si="8"/>
        <v>11</v>
      </c>
    </row>
    <row r="184" spans="1:13" x14ac:dyDescent="0.3">
      <c r="A184" t="s">
        <v>188</v>
      </c>
      <c r="B184" t="s">
        <v>86</v>
      </c>
      <c r="C184" s="4" t="s">
        <v>405</v>
      </c>
      <c r="D184" t="s">
        <v>28</v>
      </c>
      <c r="E184" t="s">
        <v>23</v>
      </c>
      <c r="F184">
        <v>4</v>
      </c>
      <c r="G184">
        <v>1811</v>
      </c>
      <c r="H184" t="s">
        <v>29</v>
      </c>
      <c r="I184" t="s">
        <v>27</v>
      </c>
      <c r="J184" t="str">
        <f t="shared" si="9"/>
        <v>Debit Card</v>
      </c>
      <c r="K184" t="s">
        <v>18</v>
      </c>
      <c r="L184">
        <f t="shared" si="7"/>
        <v>7244</v>
      </c>
      <c r="M184" t="str">
        <f t="shared" si="8"/>
        <v>11</v>
      </c>
    </row>
    <row r="185" spans="1:13" x14ac:dyDescent="0.3">
      <c r="A185" t="s">
        <v>190</v>
      </c>
      <c r="B185" t="s">
        <v>155</v>
      </c>
      <c r="C185" s="4" t="s">
        <v>389</v>
      </c>
      <c r="D185" t="s">
        <v>36</v>
      </c>
      <c r="E185" t="s">
        <v>23</v>
      </c>
      <c r="F185">
        <v>3</v>
      </c>
      <c r="G185">
        <v>2511</v>
      </c>
      <c r="H185" t="s">
        <v>17</v>
      </c>
      <c r="I185" t="s">
        <v>32</v>
      </c>
      <c r="J185" t="str">
        <f t="shared" si="9"/>
        <v>Net Banking</v>
      </c>
      <c r="K185" t="s">
        <v>18</v>
      </c>
      <c r="L185">
        <f t="shared" si="7"/>
        <v>7533</v>
      </c>
      <c r="M185" t="str">
        <f t="shared" si="8"/>
        <v>17</v>
      </c>
    </row>
    <row r="186" spans="1:13" x14ac:dyDescent="0.3">
      <c r="A186" t="s">
        <v>191</v>
      </c>
      <c r="B186" t="s">
        <v>179</v>
      </c>
      <c r="C186" s="4" t="s">
        <v>417</v>
      </c>
      <c r="D186" t="s">
        <v>34</v>
      </c>
      <c r="E186" t="s">
        <v>11</v>
      </c>
      <c r="F186">
        <v>2</v>
      </c>
      <c r="G186">
        <v>18111</v>
      </c>
      <c r="H186" t="s">
        <v>17</v>
      </c>
      <c r="I186" t="s">
        <v>27</v>
      </c>
      <c r="J186" t="str">
        <f t="shared" si="9"/>
        <v>Debit Card</v>
      </c>
      <c r="K186" t="s">
        <v>18</v>
      </c>
      <c r="L186">
        <f t="shared" si="7"/>
        <v>36222</v>
      </c>
      <c r="M186" t="str">
        <f t="shared" si="8"/>
        <v>15</v>
      </c>
    </row>
    <row r="187" spans="1:13" x14ac:dyDescent="0.3">
      <c r="A187" t="s">
        <v>192</v>
      </c>
      <c r="B187" t="s">
        <v>146</v>
      </c>
      <c r="C187" s="4" t="s">
        <v>366</v>
      </c>
      <c r="D187" t="s">
        <v>16</v>
      </c>
      <c r="E187" t="s">
        <v>11</v>
      </c>
      <c r="F187">
        <v>3</v>
      </c>
      <c r="G187">
        <v>45111</v>
      </c>
      <c r="H187" t="s">
        <v>35</v>
      </c>
      <c r="I187" t="s">
        <v>25</v>
      </c>
      <c r="J187" t="str">
        <f t="shared" si="9"/>
        <v>Cash</v>
      </c>
      <c r="K187" t="s">
        <v>15</v>
      </c>
      <c r="L187">
        <f t="shared" si="7"/>
        <v>135333</v>
      </c>
      <c r="M187" t="str">
        <f t="shared" si="8"/>
        <v>18</v>
      </c>
    </row>
    <row r="188" spans="1:13" x14ac:dyDescent="0.3">
      <c r="A188" t="s">
        <v>193</v>
      </c>
      <c r="B188" t="s">
        <v>143</v>
      </c>
      <c r="C188" s="4" t="s">
        <v>312</v>
      </c>
      <c r="D188" t="s">
        <v>10</v>
      </c>
      <c r="E188" t="s">
        <v>11</v>
      </c>
      <c r="F188">
        <v>1</v>
      </c>
      <c r="G188">
        <v>31111</v>
      </c>
      <c r="H188" t="s">
        <v>35</v>
      </c>
      <c r="I188" t="s">
        <v>32</v>
      </c>
      <c r="J188" t="str">
        <f t="shared" si="9"/>
        <v>Net Banking</v>
      </c>
      <c r="K188" t="s">
        <v>21</v>
      </c>
      <c r="L188">
        <f t="shared" si="7"/>
        <v>31111</v>
      </c>
      <c r="M188" t="str">
        <f t="shared" si="8"/>
        <v>11</v>
      </c>
    </row>
    <row r="189" spans="1:13" x14ac:dyDescent="0.3">
      <c r="A189" t="s">
        <v>194</v>
      </c>
      <c r="B189" t="s">
        <v>92</v>
      </c>
      <c r="C189" s="4" t="s">
        <v>393</v>
      </c>
      <c r="D189" t="s">
        <v>10</v>
      </c>
      <c r="E189" t="s">
        <v>11</v>
      </c>
      <c r="F189">
        <v>1</v>
      </c>
      <c r="G189">
        <v>31111</v>
      </c>
      <c r="H189" t="s">
        <v>67</v>
      </c>
      <c r="I189" t="s">
        <v>27</v>
      </c>
      <c r="J189" t="str">
        <f t="shared" si="9"/>
        <v>Debit Card</v>
      </c>
      <c r="K189" t="s">
        <v>15</v>
      </c>
      <c r="L189">
        <f t="shared" si="7"/>
        <v>31111</v>
      </c>
      <c r="M189" t="str">
        <f t="shared" si="8"/>
        <v>12</v>
      </c>
    </row>
    <row r="190" spans="1:13" x14ac:dyDescent="0.3">
      <c r="A190" t="s">
        <v>195</v>
      </c>
      <c r="B190" t="s">
        <v>218</v>
      </c>
      <c r="C190" s="4" t="s">
        <v>418</v>
      </c>
      <c r="D190" t="s">
        <v>30</v>
      </c>
      <c r="E190" t="s">
        <v>31</v>
      </c>
      <c r="F190">
        <v>3</v>
      </c>
      <c r="G190">
        <v>9111</v>
      </c>
      <c r="H190" t="s">
        <v>17</v>
      </c>
      <c r="I190" t="s">
        <v>14</v>
      </c>
      <c r="J190" t="str">
        <f>PROPER(TRIM(I191))</f>
        <v>Upi</v>
      </c>
      <c r="K190" t="s">
        <v>15</v>
      </c>
      <c r="L190">
        <f t="shared" si="7"/>
        <v>27333</v>
      </c>
      <c r="M190" t="str">
        <f t="shared" si="8"/>
        <v>13</v>
      </c>
    </row>
    <row r="191" spans="1:13" x14ac:dyDescent="0.3">
      <c r="A191" t="s">
        <v>196</v>
      </c>
      <c r="B191" t="s">
        <v>92</v>
      </c>
      <c r="C191" s="4" t="s">
        <v>365</v>
      </c>
      <c r="D191" t="s">
        <v>16</v>
      </c>
      <c r="E191" t="s">
        <v>11</v>
      </c>
      <c r="F191">
        <v>3</v>
      </c>
      <c r="G191" s="5">
        <v>61111</v>
      </c>
      <c r="H191" t="s">
        <v>19</v>
      </c>
      <c r="I191" t="s">
        <v>20</v>
      </c>
      <c r="J191" t="str">
        <f t="shared" si="9"/>
        <v>Upi</v>
      </c>
      <c r="K191" t="s">
        <v>18</v>
      </c>
      <c r="L191">
        <f t="shared" si="7"/>
        <v>183333</v>
      </c>
      <c r="M191" t="str">
        <f t="shared" si="8"/>
        <v>13</v>
      </c>
    </row>
    <row r="192" spans="1:13" x14ac:dyDescent="0.3">
      <c r="A192" t="s">
        <v>196</v>
      </c>
      <c r="B192" t="s">
        <v>127</v>
      </c>
      <c r="C192" s="4" t="s">
        <v>383</v>
      </c>
      <c r="D192" t="s">
        <v>36</v>
      </c>
      <c r="E192" t="s">
        <v>23</v>
      </c>
      <c r="F192">
        <v>2</v>
      </c>
      <c r="G192">
        <v>2511</v>
      </c>
      <c r="H192" t="s">
        <v>24</v>
      </c>
      <c r="I192" t="s">
        <v>25</v>
      </c>
      <c r="J192" t="str">
        <f t="shared" si="9"/>
        <v>Cash</v>
      </c>
      <c r="K192" t="s">
        <v>18</v>
      </c>
      <c r="L192">
        <f t="shared" si="7"/>
        <v>5022</v>
      </c>
      <c r="M192" t="str">
        <f t="shared" si="8"/>
        <v>11</v>
      </c>
    </row>
    <row r="193" spans="1:13" x14ac:dyDescent="0.3">
      <c r="A193" t="s">
        <v>198</v>
      </c>
      <c r="B193" t="s">
        <v>118</v>
      </c>
      <c r="C193" s="4" t="s">
        <v>333</v>
      </c>
      <c r="D193" t="s">
        <v>30</v>
      </c>
      <c r="E193" t="s">
        <v>31</v>
      </c>
      <c r="F193">
        <v>1</v>
      </c>
      <c r="G193">
        <v>6511</v>
      </c>
      <c r="H193" t="s">
        <v>13</v>
      </c>
      <c r="I193" t="s">
        <v>25</v>
      </c>
      <c r="J193" t="str">
        <f t="shared" si="9"/>
        <v>Cash</v>
      </c>
      <c r="K193" t="s">
        <v>21</v>
      </c>
      <c r="L193">
        <f t="shared" si="7"/>
        <v>6511</v>
      </c>
      <c r="M193" t="str">
        <f t="shared" si="8"/>
        <v>11</v>
      </c>
    </row>
    <row r="194" spans="1:13" x14ac:dyDescent="0.3">
      <c r="A194" t="s">
        <v>200</v>
      </c>
      <c r="B194" t="s">
        <v>123</v>
      </c>
      <c r="C194" s="4" t="s">
        <v>419</v>
      </c>
      <c r="D194" t="s">
        <v>26</v>
      </c>
      <c r="E194" t="s">
        <v>11</v>
      </c>
      <c r="F194">
        <v>1</v>
      </c>
      <c r="G194">
        <v>16111</v>
      </c>
      <c r="H194" t="s">
        <v>17</v>
      </c>
      <c r="I194" t="s">
        <v>32</v>
      </c>
      <c r="J194" t="str">
        <f t="shared" ref="J194:J257" si="10">PROPER(TRIM(I194))</f>
        <v>Net Banking</v>
      </c>
      <c r="K194" t="s">
        <v>18</v>
      </c>
      <c r="L194">
        <f t="shared" ref="L194:L257" si="11">F194*G194</f>
        <v>16111</v>
      </c>
      <c r="M194" t="str">
        <f t="shared" ref="M194:M257" si="12">IFERROR(MID(C194,4,2),"")</f>
        <v>16</v>
      </c>
    </row>
    <row r="195" spans="1:13" x14ac:dyDescent="0.3">
      <c r="A195" t="s">
        <v>201</v>
      </c>
      <c r="B195" t="s">
        <v>219</v>
      </c>
      <c r="C195" s="4" t="s">
        <v>320</v>
      </c>
      <c r="D195" t="s">
        <v>26</v>
      </c>
      <c r="E195" t="s">
        <v>11</v>
      </c>
      <c r="F195">
        <v>1</v>
      </c>
      <c r="G195">
        <v>12111</v>
      </c>
      <c r="H195" t="s">
        <v>67</v>
      </c>
      <c r="I195" t="s">
        <v>14</v>
      </c>
      <c r="J195" t="str">
        <f t="shared" si="10"/>
        <v>Credit Card</v>
      </c>
      <c r="K195" t="s">
        <v>21</v>
      </c>
      <c r="L195">
        <f t="shared" si="11"/>
        <v>12111</v>
      </c>
      <c r="M195" t="str">
        <f t="shared" si="12"/>
        <v>11</v>
      </c>
    </row>
    <row r="196" spans="1:13" x14ac:dyDescent="0.3">
      <c r="A196" t="s">
        <v>202</v>
      </c>
      <c r="B196" t="s">
        <v>127</v>
      </c>
      <c r="C196" s="4" t="s">
        <v>420</v>
      </c>
      <c r="D196" t="s">
        <v>22</v>
      </c>
      <c r="E196" t="s">
        <v>23</v>
      </c>
      <c r="F196">
        <v>2</v>
      </c>
      <c r="G196">
        <v>411</v>
      </c>
      <c r="H196" t="s">
        <v>24</v>
      </c>
      <c r="I196" t="s">
        <v>14</v>
      </c>
      <c r="J196" t="str">
        <f t="shared" si="10"/>
        <v>Credit Card</v>
      </c>
      <c r="K196" t="s">
        <v>18</v>
      </c>
      <c r="L196">
        <f t="shared" si="11"/>
        <v>822</v>
      </c>
      <c r="M196" t="str">
        <f t="shared" si="12"/>
        <v>17</v>
      </c>
    </row>
    <row r="197" spans="1:13" x14ac:dyDescent="0.3">
      <c r="A197" t="s">
        <v>203</v>
      </c>
      <c r="B197" t="s">
        <v>146</v>
      </c>
      <c r="C197" s="4" t="s">
        <v>362</v>
      </c>
      <c r="D197" t="s">
        <v>10</v>
      </c>
      <c r="E197" t="s">
        <v>11</v>
      </c>
      <c r="F197">
        <v>1</v>
      </c>
      <c r="G197">
        <v>22111</v>
      </c>
      <c r="H197" t="s">
        <v>29</v>
      </c>
      <c r="I197" t="s">
        <v>20</v>
      </c>
      <c r="J197" t="str">
        <f t="shared" si="10"/>
        <v>Upi</v>
      </c>
      <c r="K197" t="s">
        <v>18</v>
      </c>
      <c r="L197">
        <f t="shared" si="11"/>
        <v>22111</v>
      </c>
      <c r="M197" t="str">
        <f t="shared" si="12"/>
        <v>11</v>
      </c>
    </row>
    <row r="198" spans="1:13" x14ac:dyDescent="0.3">
      <c r="A198" t="s">
        <v>204</v>
      </c>
      <c r="B198" t="s">
        <v>149</v>
      </c>
      <c r="C198" s="4" t="s">
        <v>379</v>
      </c>
      <c r="D198" t="s">
        <v>36</v>
      </c>
      <c r="E198" t="s">
        <v>23</v>
      </c>
      <c r="F198">
        <v>4</v>
      </c>
      <c r="G198">
        <v>3511</v>
      </c>
      <c r="H198" t="s">
        <v>17</v>
      </c>
      <c r="I198" t="s">
        <v>25</v>
      </c>
      <c r="J198" t="str">
        <f t="shared" si="10"/>
        <v>Cash</v>
      </c>
      <c r="K198" t="s">
        <v>15</v>
      </c>
      <c r="L198">
        <f t="shared" si="11"/>
        <v>14044</v>
      </c>
      <c r="M198" t="str">
        <f t="shared" si="12"/>
        <v>17</v>
      </c>
    </row>
    <row r="199" spans="1:13" x14ac:dyDescent="0.3">
      <c r="A199" t="s">
        <v>205</v>
      </c>
      <c r="B199" t="s">
        <v>213</v>
      </c>
      <c r="C199" s="4" t="s">
        <v>314</v>
      </c>
      <c r="D199" t="s">
        <v>36</v>
      </c>
      <c r="E199" t="s">
        <v>23</v>
      </c>
      <c r="F199">
        <v>1</v>
      </c>
      <c r="G199">
        <v>3511</v>
      </c>
      <c r="H199" t="s">
        <v>35</v>
      </c>
      <c r="I199" t="s">
        <v>14</v>
      </c>
      <c r="J199" t="str">
        <f t="shared" si="10"/>
        <v>Credit Card</v>
      </c>
      <c r="K199" t="s">
        <v>15</v>
      </c>
      <c r="L199">
        <f t="shared" si="11"/>
        <v>3511</v>
      </c>
      <c r="M199" t="str">
        <f t="shared" si="12"/>
        <v>11</v>
      </c>
    </row>
    <row r="200" spans="1:13" x14ac:dyDescent="0.3">
      <c r="A200" t="s">
        <v>206</v>
      </c>
      <c r="B200" t="s">
        <v>118</v>
      </c>
      <c r="C200" s="4" t="s">
        <v>354</v>
      </c>
      <c r="D200" t="s">
        <v>10</v>
      </c>
      <c r="E200" t="s">
        <v>11</v>
      </c>
      <c r="F200">
        <v>2</v>
      </c>
      <c r="G200">
        <v>42111</v>
      </c>
      <c r="H200" t="s">
        <v>67</v>
      </c>
      <c r="I200" t="s">
        <v>32</v>
      </c>
      <c r="J200" t="str">
        <f>PROPER(TRIM(I211))</f>
        <v>Net Banking</v>
      </c>
      <c r="K200" t="s">
        <v>21</v>
      </c>
      <c r="L200">
        <f t="shared" si="11"/>
        <v>84222</v>
      </c>
      <c r="M200" t="str">
        <f t="shared" si="12"/>
        <v>11</v>
      </c>
    </row>
    <row r="201" spans="1:13" x14ac:dyDescent="0.3">
      <c r="A201" t="s">
        <v>220</v>
      </c>
      <c r="B201" t="s">
        <v>197</v>
      </c>
      <c r="C201" s="4" t="s">
        <v>421</v>
      </c>
      <c r="D201" t="s">
        <v>22</v>
      </c>
      <c r="E201" t="s">
        <v>23</v>
      </c>
      <c r="F201">
        <v>1</v>
      </c>
      <c r="G201">
        <v>711</v>
      </c>
      <c r="H201" t="s">
        <v>13</v>
      </c>
      <c r="I201" t="s">
        <v>14</v>
      </c>
      <c r="J201" t="str">
        <f t="shared" ref="J201:J209" si="13">PROPER(TRIM(I211))</f>
        <v>Net Banking</v>
      </c>
      <c r="K201" t="s">
        <v>18</v>
      </c>
      <c r="L201">
        <f t="shared" si="11"/>
        <v>711</v>
      </c>
      <c r="M201" t="str">
        <f t="shared" si="12"/>
        <v>19</v>
      </c>
    </row>
    <row r="202" spans="1:13" x14ac:dyDescent="0.3">
      <c r="A202" t="s">
        <v>220</v>
      </c>
      <c r="B202" t="s">
        <v>101</v>
      </c>
      <c r="C202" s="4" t="s">
        <v>422</v>
      </c>
      <c r="D202" t="s">
        <v>10</v>
      </c>
      <c r="E202" t="s">
        <v>11</v>
      </c>
      <c r="F202">
        <v>1</v>
      </c>
      <c r="G202">
        <v>31111</v>
      </c>
      <c r="H202" t="s">
        <v>13</v>
      </c>
      <c r="I202" t="s">
        <v>20</v>
      </c>
      <c r="J202" t="str">
        <f t="shared" si="13"/>
        <v>Unknown</v>
      </c>
      <c r="K202" t="s">
        <v>21</v>
      </c>
      <c r="L202">
        <f t="shared" si="11"/>
        <v>31111</v>
      </c>
      <c r="M202" t="str">
        <f t="shared" si="12"/>
        <v>18</v>
      </c>
    </row>
    <row r="203" spans="1:13" x14ac:dyDescent="0.3">
      <c r="A203" t="s">
        <v>221</v>
      </c>
      <c r="B203" t="s">
        <v>222</v>
      </c>
      <c r="C203" s="4" t="s">
        <v>386</v>
      </c>
      <c r="D203" t="s">
        <v>10</v>
      </c>
      <c r="E203" t="s">
        <v>11</v>
      </c>
      <c r="F203">
        <v>1</v>
      </c>
      <c r="G203">
        <v>22111</v>
      </c>
      <c r="H203" t="s">
        <v>13</v>
      </c>
      <c r="I203" t="s">
        <v>32</v>
      </c>
      <c r="J203" t="str">
        <f t="shared" si="13"/>
        <v>Cash</v>
      </c>
      <c r="K203" t="s">
        <v>21</v>
      </c>
      <c r="L203">
        <f t="shared" si="11"/>
        <v>22111</v>
      </c>
      <c r="M203" t="str">
        <f t="shared" si="12"/>
        <v>12</v>
      </c>
    </row>
    <row r="204" spans="1:13" x14ac:dyDescent="0.3">
      <c r="A204" t="s">
        <v>223</v>
      </c>
      <c r="B204" t="s">
        <v>211</v>
      </c>
      <c r="C204" s="4" t="s">
        <v>405</v>
      </c>
      <c r="D204" t="s">
        <v>36</v>
      </c>
      <c r="E204" t="s">
        <v>23</v>
      </c>
      <c r="F204">
        <v>3</v>
      </c>
      <c r="G204">
        <v>1211</v>
      </c>
      <c r="H204" t="s">
        <v>13</v>
      </c>
      <c r="I204" t="s">
        <v>27</v>
      </c>
      <c r="J204" t="str">
        <f t="shared" si="13"/>
        <v>Debit Card</v>
      </c>
      <c r="K204" t="s">
        <v>21</v>
      </c>
      <c r="L204">
        <f t="shared" si="11"/>
        <v>3633</v>
      </c>
      <c r="M204" t="str">
        <f t="shared" si="12"/>
        <v>11</v>
      </c>
    </row>
    <row r="205" spans="1:13" x14ac:dyDescent="0.3">
      <c r="A205" t="s">
        <v>224</v>
      </c>
      <c r="B205" t="s">
        <v>151</v>
      </c>
      <c r="C205" s="4" t="s">
        <v>345</v>
      </c>
      <c r="D205" t="s">
        <v>34</v>
      </c>
      <c r="E205" t="s">
        <v>11</v>
      </c>
      <c r="F205">
        <v>2</v>
      </c>
      <c r="G205">
        <v>12111</v>
      </c>
      <c r="H205" t="s">
        <v>17</v>
      </c>
      <c r="I205" t="s">
        <v>20</v>
      </c>
      <c r="J205" t="str">
        <f t="shared" si="13"/>
        <v>Cash</v>
      </c>
      <c r="K205" t="s">
        <v>15</v>
      </c>
      <c r="L205">
        <f t="shared" si="11"/>
        <v>24222</v>
      </c>
      <c r="M205" t="str">
        <f t="shared" si="12"/>
        <v>12</v>
      </c>
    </row>
    <row r="206" spans="1:13" x14ac:dyDescent="0.3">
      <c r="A206" t="s">
        <v>225</v>
      </c>
      <c r="B206" t="s">
        <v>143</v>
      </c>
      <c r="C206" s="4" t="s">
        <v>370</v>
      </c>
      <c r="D206" t="s">
        <v>36</v>
      </c>
      <c r="E206" t="s">
        <v>23</v>
      </c>
      <c r="F206">
        <v>1</v>
      </c>
      <c r="G206">
        <v>2511</v>
      </c>
      <c r="H206" t="s">
        <v>24</v>
      </c>
      <c r="I206" t="s">
        <v>20</v>
      </c>
      <c r="J206" t="str">
        <f t="shared" si="13"/>
        <v>Net Banking</v>
      </c>
      <c r="K206" t="s">
        <v>15</v>
      </c>
      <c r="L206">
        <f t="shared" si="11"/>
        <v>2511</v>
      </c>
      <c r="M206" t="str">
        <f t="shared" si="12"/>
        <v>13</v>
      </c>
    </row>
    <row r="207" spans="1:13" x14ac:dyDescent="0.3">
      <c r="A207" t="s">
        <v>226</v>
      </c>
      <c r="B207" t="s">
        <v>227</v>
      </c>
      <c r="C207" s="4" t="s">
        <v>423</v>
      </c>
      <c r="D207" t="s">
        <v>26</v>
      </c>
      <c r="E207" t="s">
        <v>11</v>
      </c>
      <c r="F207">
        <v>4</v>
      </c>
      <c r="G207">
        <v>9111</v>
      </c>
      <c r="H207" t="s">
        <v>37</v>
      </c>
      <c r="I207" t="s">
        <v>25</v>
      </c>
      <c r="J207" t="str">
        <f t="shared" si="13"/>
        <v>Cash</v>
      </c>
      <c r="K207" t="s">
        <v>21</v>
      </c>
      <c r="L207">
        <f t="shared" si="11"/>
        <v>36444</v>
      </c>
      <c r="M207" t="str">
        <f t="shared" si="12"/>
        <v>19</v>
      </c>
    </row>
    <row r="208" spans="1:13" x14ac:dyDescent="0.3">
      <c r="A208" t="s">
        <v>228</v>
      </c>
      <c r="B208" t="s">
        <v>162</v>
      </c>
      <c r="C208" s="4" t="s">
        <v>383</v>
      </c>
      <c r="D208" t="s">
        <v>36</v>
      </c>
      <c r="E208" t="s">
        <v>23</v>
      </c>
      <c r="F208">
        <v>3</v>
      </c>
      <c r="G208">
        <v>1211</v>
      </c>
      <c r="H208" t="s">
        <v>67</v>
      </c>
      <c r="I208" t="s">
        <v>20</v>
      </c>
      <c r="J208" t="str">
        <f t="shared" si="13"/>
        <v>Upi</v>
      </c>
      <c r="K208" t="s">
        <v>18</v>
      </c>
      <c r="L208">
        <f t="shared" si="11"/>
        <v>3633</v>
      </c>
      <c r="M208" t="str">
        <f t="shared" si="12"/>
        <v>11</v>
      </c>
    </row>
    <row r="209" spans="1:13" x14ac:dyDescent="0.3">
      <c r="A209" t="s">
        <v>229</v>
      </c>
      <c r="B209" t="s">
        <v>214</v>
      </c>
      <c r="C209" s="4" t="s">
        <v>424</v>
      </c>
      <c r="D209" t="s">
        <v>26</v>
      </c>
      <c r="E209" t="s">
        <v>11</v>
      </c>
      <c r="F209">
        <v>4</v>
      </c>
      <c r="G209">
        <v>22111</v>
      </c>
      <c r="H209" t="s">
        <v>66</v>
      </c>
      <c r="I209" t="s">
        <v>27</v>
      </c>
      <c r="J209" t="str">
        <f t="shared" si="13"/>
        <v>Upi</v>
      </c>
      <c r="K209" t="s">
        <v>15</v>
      </c>
      <c r="L209">
        <f t="shared" si="11"/>
        <v>88444</v>
      </c>
      <c r="M209" t="str">
        <f t="shared" si="12"/>
        <v>15</v>
      </c>
    </row>
    <row r="210" spans="1:13" x14ac:dyDescent="0.3">
      <c r="A210" t="s">
        <v>230</v>
      </c>
      <c r="B210" t="s">
        <v>118</v>
      </c>
      <c r="C210" s="4" t="s">
        <v>380</v>
      </c>
      <c r="D210" t="s">
        <v>26</v>
      </c>
      <c r="E210" t="s">
        <v>11</v>
      </c>
      <c r="F210">
        <v>1</v>
      </c>
      <c r="G210">
        <v>22111</v>
      </c>
      <c r="H210" t="s">
        <v>24</v>
      </c>
      <c r="I210" t="s">
        <v>27</v>
      </c>
      <c r="J210" t="str">
        <f>PROPER(TRIM(I211))</f>
        <v>Net Banking</v>
      </c>
      <c r="K210" t="s">
        <v>15</v>
      </c>
      <c r="L210">
        <f t="shared" si="11"/>
        <v>22111</v>
      </c>
      <c r="M210" t="str">
        <f t="shared" si="12"/>
        <v>15</v>
      </c>
    </row>
    <row r="211" spans="1:13" x14ac:dyDescent="0.3">
      <c r="A211" t="s">
        <v>220</v>
      </c>
      <c r="B211" t="s">
        <v>231</v>
      </c>
      <c r="C211" s="4" t="s">
        <v>346</v>
      </c>
      <c r="D211" t="s">
        <v>30</v>
      </c>
      <c r="E211" t="s">
        <v>31</v>
      </c>
      <c r="F211">
        <v>1</v>
      </c>
      <c r="G211">
        <v>6511</v>
      </c>
      <c r="H211" t="s">
        <v>67</v>
      </c>
      <c r="I211" t="s">
        <v>32</v>
      </c>
      <c r="J211" t="str">
        <f t="shared" si="10"/>
        <v>Net Banking</v>
      </c>
      <c r="K211" t="s">
        <v>15</v>
      </c>
      <c r="L211">
        <f t="shared" si="11"/>
        <v>6511</v>
      </c>
      <c r="M211" t="str">
        <f t="shared" si="12"/>
        <v>11</v>
      </c>
    </row>
    <row r="212" spans="1:13" x14ac:dyDescent="0.3">
      <c r="A212" t="s">
        <v>220</v>
      </c>
      <c r="B212" t="s">
        <v>76</v>
      </c>
      <c r="C212" s="4" t="s">
        <v>381</v>
      </c>
      <c r="D212" t="s">
        <v>36</v>
      </c>
      <c r="E212" t="s">
        <v>23</v>
      </c>
      <c r="F212">
        <v>1</v>
      </c>
      <c r="G212">
        <v>1811</v>
      </c>
      <c r="H212" t="s">
        <v>24</v>
      </c>
      <c r="I212" t="s">
        <v>65</v>
      </c>
      <c r="J212" t="str">
        <f t="shared" si="10"/>
        <v>Unknown</v>
      </c>
      <c r="K212" t="s">
        <v>15</v>
      </c>
      <c r="L212">
        <f t="shared" si="11"/>
        <v>1811</v>
      </c>
      <c r="M212" t="str">
        <f t="shared" si="12"/>
        <v>12</v>
      </c>
    </row>
    <row r="213" spans="1:13" x14ac:dyDescent="0.3">
      <c r="A213" t="s">
        <v>221</v>
      </c>
      <c r="B213" t="s">
        <v>189</v>
      </c>
      <c r="C213" s="4" t="s">
        <v>425</v>
      </c>
      <c r="D213" t="s">
        <v>28</v>
      </c>
      <c r="E213" t="s">
        <v>23</v>
      </c>
      <c r="F213">
        <v>4</v>
      </c>
      <c r="G213">
        <v>1811</v>
      </c>
      <c r="H213" t="s">
        <v>29</v>
      </c>
      <c r="I213" t="s">
        <v>25</v>
      </c>
      <c r="J213" t="str">
        <f t="shared" si="10"/>
        <v>Cash</v>
      </c>
      <c r="K213" t="s">
        <v>21</v>
      </c>
      <c r="L213">
        <f t="shared" si="11"/>
        <v>7244</v>
      </c>
      <c r="M213" t="str">
        <f t="shared" si="12"/>
        <v>19</v>
      </c>
    </row>
    <row r="214" spans="1:13" x14ac:dyDescent="0.3">
      <c r="A214" t="s">
        <v>223</v>
      </c>
      <c r="B214" t="s">
        <v>208</v>
      </c>
      <c r="C214" s="4" t="s">
        <v>426</v>
      </c>
      <c r="D214" t="s">
        <v>10</v>
      </c>
      <c r="E214" t="s">
        <v>11</v>
      </c>
      <c r="F214">
        <v>1</v>
      </c>
      <c r="G214">
        <v>42111</v>
      </c>
      <c r="H214" t="s">
        <v>65</v>
      </c>
      <c r="I214" t="s">
        <v>27</v>
      </c>
      <c r="J214" t="str">
        <f t="shared" si="10"/>
        <v>Debit Card</v>
      </c>
      <c r="K214" t="s">
        <v>18</v>
      </c>
      <c r="L214">
        <f t="shared" si="11"/>
        <v>42111</v>
      </c>
      <c r="M214" t="str">
        <f t="shared" si="12"/>
        <v>15</v>
      </c>
    </row>
    <row r="215" spans="1:13" x14ac:dyDescent="0.3">
      <c r="A215" t="s">
        <v>224</v>
      </c>
      <c r="B215" t="s">
        <v>87</v>
      </c>
      <c r="C215" s="4" t="s">
        <v>339</v>
      </c>
      <c r="D215" t="s">
        <v>26</v>
      </c>
      <c r="E215" t="s">
        <v>11</v>
      </c>
      <c r="F215">
        <v>3</v>
      </c>
      <c r="G215">
        <v>12111</v>
      </c>
      <c r="H215" t="s">
        <v>35</v>
      </c>
      <c r="I215" t="s">
        <v>25</v>
      </c>
      <c r="J215" t="str">
        <f t="shared" si="10"/>
        <v>Cash</v>
      </c>
      <c r="K215" t="s">
        <v>18</v>
      </c>
      <c r="L215">
        <f t="shared" si="11"/>
        <v>36333</v>
      </c>
      <c r="M215" t="str">
        <f t="shared" si="12"/>
        <v>12</v>
      </c>
    </row>
    <row r="216" spans="1:13" x14ac:dyDescent="0.3">
      <c r="A216" t="s">
        <v>225</v>
      </c>
      <c r="B216" t="s">
        <v>213</v>
      </c>
      <c r="C216" s="4" t="s">
        <v>328</v>
      </c>
      <c r="D216" t="s">
        <v>34</v>
      </c>
      <c r="E216" t="s">
        <v>11</v>
      </c>
      <c r="F216">
        <v>1</v>
      </c>
      <c r="G216">
        <v>12111</v>
      </c>
      <c r="H216" t="s">
        <v>24</v>
      </c>
      <c r="I216" t="s">
        <v>32</v>
      </c>
      <c r="J216" t="str">
        <f t="shared" si="10"/>
        <v>Net Banking</v>
      </c>
      <c r="K216" t="s">
        <v>15</v>
      </c>
      <c r="L216">
        <f t="shared" si="11"/>
        <v>12111</v>
      </c>
      <c r="M216" t="str">
        <f t="shared" si="12"/>
        <v>13</v>
      </c>
    </row>
    <row r="217" spans="1:13" x14ac:dyDescent="0.3">
      <c r="A217" t="s">
        <v>226</v>
      </c>
      <c r="B217" t="s">
        <v>70</v>
      </c>
      <c r="C217" s="4" t="s">
        <v>427</v>
      </c>
      <c r="D217" t="s">
        <v>28</v>
      </c>
      <c r="E217" t="s">
        <v>23</v>
      </c>
      <c r="F217">
        <v>3</v>
      </c>
      <c r="G217" s="5">
        <v>1211</v>
      </c>
      <c r="H217" t="s">
        <v>19</v>
      </c>
      <c r="I217" t="s">
        <v>25</v>
      </c>
      <c r="J217" t="str">
        <f t="shared" si="10"/>
        <v>Cash</v>
      </c>
      <c r="K217" t="s">
        <v>21</v>
      </c>
      <c r="L217">
        <f t="shared" si="11"/>
        <v>3633</v>
      </c>
      <c r="M217" t="str">
        <f t="shared" si="12"/>
        <v>13</v>
      </c>
    </row>
    <row r="218" spans="1:13" x14ac:dyDescent="0.3">
      <c r="A218" t="s">
        <v>228</v>
      </c>
      <c r="B218" t="s">
        <v>222</v>
      </c>
      <c r="C218" s="4" t="s">
        <v>428</v>
      </c>
      <c r="D218" t="s">
        <v>28</v>
      </c>
      <c r="E218" t="s">
        <v>23</v>
      </c>
      <c r="F218">
        <v>1</v>
      </c>
      <c r="G218">
        <v>711</v>
      </c>
      <c r="H218" t="s">
        <v>29</v>
      </c>
      <c r="I218" t="s">
        <v>20</v>
      </c>
      <c r="J218" t="str">
        <f t="shared" si="10"/>
        <v>Upi</v>
      </c>
      <c r="K218" t="s">
        <v>21</v>
      </c>
      <c r="L218">
        <f t="shared" si="11"/>
        <v>711</v>
      </c>
      <c r="M218" t="str">
        <f t="shared" si="12"/>
        <v>14</v>
      </c>
    </row>
    <row r="219" spans="1:13" x14ac:dyDescent="0.3">
      <c r="A219" t="s">
        <v>229</v>
      </c>
      <c r="B219" t="s">
        <v>74</v>
      </c>
      <c r="C219" s="4" t="s">
        <v>364</v>
      </c>
      <c r="D219" t="s">
        <v>22</v>
      </c>
      <c r="E219" t="s">
        <v>23</v>
      </c>
      <c r="F219">
        <v>1</v>
      </c>
      <c r="G219">
        <v>711</v>
      </c>
      <c r="H219" t="s">
        <v>35</v>
      </c>
      <c r="I219" t="s">
        <v>20</v>
      </c>
      <c r="J219" t="str">
        <f t="shared" si="10"/>
        <v>Upi</v>
      </c>
      <c r="K219" t="s">
        <v>15</v>
      </c>
      <c r="L219">
        <f t="shared" si="11"/>
        <v>711</v>
      </c>
      <c r="M219" t="str">
        <f t="shared" si="12"/>
        <v>13</v>
      </c>
    </row>
    <row r="220" spans="1:13" x14ac:dyDescent="0.3">
      <c r="A220" t="s">
        <v>230</v>
      </c>
      <c r="B220" t="s">
        <v>72</v>
      </c>
      <c r="C220" s="4" t="s">
        <v>429</v>
      </c>
      <c r="D220" t="s">
        <v>34</v>
      </c>
      <c r="E220" t="s">
        <v>11</v>
      </c>
      <c r="F220">
        <v>4</v>
      </c>
      <c r="G220">
        <v>25111</v>
      </c>
      <c r="H220" t="s">
        <v>24</v>
      </c>
      <c r="I220" t="s">
        <v>25</v>
      </c>
      <c r="J220" t="str">
        <f>PROPER(TRIM(I221))</f>
        <v>Credit Card</v>
      </c>
      <c r="K220" t="s">
        <v>15</v>
      </c>
      <c r="L220">
        <f t="shared" si="11"/>
        <v>100444</v>
      </c>
      <c r="M220" t="str">
        <f t="shared" si="12"/>
        <v>14</v>
      </c>
    </row>
    <row r="221" spans="1:13" x14ac:dyDescent="0.3">
      <c r="A221" t="s">
        <v>232</v>
      </c>
      <c r="B221" t="s">
        <v>179</v>
      </c>
      <c r="C221" s="4" t="s">
        <v>430</v>
      </c>
      <c r="D221" t="s">
        <v>16</v>
      </c>
      <c r="E221" t="s">
        <v>11</v>
      </c>
      <c r="F221">
        <v>2</v>
      </c>
      <c r="G221">
        <v>61111</v>
      </c>
      <c r="H221" t="s">
        <v>19</v>
      </c>
      <c r="I221" t="s">
        <v>14</v>
      </c>
      <c r="J221" t="str">
        <f t="shared" si="10"/>
        <v>Credit Card</v>
      </c>
      <c r="K221" t="s">
        <v>21</v>
      </c>
      <c r="L221">
        <f t="shared" si="11"/>
        <v>122222</v>
      </c>
      <c r="M221" t="str">
        <f t="shared" si="12"/>
        <v>17</v>
      </c>
    </row>
    <row r="222" spans="1:13" x14ac:dyDescent="0.3">
      <c r="A222" t="s">
        <v>232</v>
      </c>
      <c r="B222" t="s">
        <v>215</v>
      </c>
      <c r="C222" s="4" t="s">
        <v>431</v>
      </c>
      <c r="D222" t="s">
        <v>28</v>
      </c>
      <c r="E222" t="s">
        <v>23</v>
      </c>
      <c r="F222" t="s">
        <v>12</v>
      </c>
      <c r="G222">
        <v>1811</v>
      </c>
      <c r="H222" t="s">
        <v>37</v>
      </c>
      <c r="I222" t="s">
        <v>27</v>
      </c>
      <c r="J222" t="str">
        <f t="shared" si="10"/>
        <v>Debit Card</v>
      </c>
      <c r="K222" t="s">
        <v>21</v>
      </c>
      <c r="L222">
        <f t="shared" si="11"/>
        <v>1811</v>
      </c>
      <c r="M222" t="str">
        <f t="shared" si="12"/>
        <v>15</v>
      </c>
    </row>
    <row r="223" spans="1:13" x14ac:dyDescent="0.3">
      <c r="A223" t="s">
        <v>233</v>
      </c>
      <c r="B223" t="s">
        <v>90</v>
      </c>
      <c r="C223" s="4" t="s">
        <v>432</v>
      </c>
      <c r="D223" t="s">
        <v>28</v>
      </c>
      <c r="E223" t="s">
        <v>23</v>
      </c>
      <c r="F223">
        <v>1</v>
      </c>
      <c r="G223">
        <v>1811</v>
      </c>
      <c r="H223" t="s">
        <v>67</v>
      </c>
      <c r="I223" t="s">
        <v>27</v>
      </c>
      <c r="J223" t="str">
        <f t="shared" si="10"/>
        <v>Debit Card</v>
      </c>
      <c r="K223" t="s">
        <v>21</v>
      </c>
      <c r="L223">
        <f t="shared" si="11"/>
        <v>1811</v>
      </c>
      <c r="M223" t="str">
        <f t="shared" si="12"/>
        <v>15</v>
      </c>
    </row>
    <row r="224" spans="1:13" x14ac:dyDescent="0.3">
      <c r="A224" t="s">
        <v>234</v>
      </c>
      <c r="B224" t="s">
        <v>146</v>
      </c>
      <c r="C224" s="4" t="s">
        <v>398</v>
      </c>
      <c r="D224" t="s">
        <v>16</v>
      </c>
      <c r="E224" t="s">
        <v>11</v>
      </c>
      <c r="F224">
        <v>2</v>
      </c>
      <c r="G224">
        <v>68111</v>
      </c>
      <c r="H224" t="s">
        <v>29</v>
      </c>
      <c r="I224" t="s">
        <v>32</v>
      </c>
      <c r="J224" t="str">
        <f t="shared" si="10"/>
        <v>Net Banking</v>
      </c>
      <c r="K224" t="s">
        <v>21</v>
      </c>
      <c r="L224">
        <f t="shared" si="11"/>
        <v>136222</v>
      </c>
      <c r="M224" t="str">
        <f t="shared" si="12"/>
        <v>12</v>
      </c>
    </row>
    <row r="225" spans="1:13" x14ac:dyDescent="0.3">
      <c r="A225" t="s">
        <v>235</v>
      </c>
      <c r="B225" t="s">
        <v>82</v>
      </c>
      <c r="C225" s="4" t="s">
        <v>362</v>
      </c>
      <c r="D225" t="s">
        <v>36</v>
      </c>
      <c r="E225" t="s">
        <v>23</v>
      </c>
      <c r="F225">
        <v>2</v>
      </c>
      <c r="G225">
        <v>1811</v>
      </c>
      <c r="H225" t="s">
        <v>37</v>
      </c>
      <c r="I225" t="s">
        <v>32</v>
      </c>
      <c r="J225" t="str">
        <f t="shared" si="10"/>
        <v>Net Banking</v>
      </c>
      <c r="K225" t="s">
        <v>18</v>
      </c>
      <c r="L225">
        <f t="shared" si="11"/>
        <v>3622</v>
      </c>
      <c r="M225" t="str">
        <f t="shared" si="12"/>
        <v>11</v>
      </c>
    </row>
    <row r="226" spans="1:13" x14ac:dyDescent="0.3">
      <c r="A226" t="s">
        <v>236</v>
      </c>
      <c r="B226" t="s">
        <v>134</v>
      </c>
      <c r="C226" s="4" t="s">
        <v>338</v>
      </c>
      <c r="D226" t="s">
        <v>16</v>
      </c>
      <c r="E226" t="s">
        <v>11</v>
      </c>
      <c r="F226">
        <v>3</v>
      </c>
      <c r="G226">
        <v>52111</v>
      </c>
      <c r="H226" t="s">
        <v>17</v>
      </c>
      <c r="I226" t="s">
        <v>20</v>
      </c>
      <c r="J226" t="str">
        <f t="shared" si="10"/>
        <v>Upi</v>
      </c>
      <c r="K226" t="s">
        <v>21</v>
      </c>
      <c r="L226">
        <f t="shared" si="11"/>
        <v>156333</v>
      </c>
      <c r="M226" t="str">
        <f t="shared" si="12"/>
        <v>13</v>
      </c>
    </row>
    <row r="227" spans="1:13" x14ac:dyDescent="0.3">
      <c r="A227" t="s">
        <v>237</v>
      </c>
      <c r="B227" t="s">
        <v>211</v>
      </c>
      <c r="C227" s="4" t="s">
        <v>334</v>
      </c>
      <c r="D227" t="s">
        <v>26</v>
      </c>
      <c r="E227" t="s">
        <v>11</v>
      </c>
      <c r="F227">
        <v>1</v>
      </c>
      <c r="G227">
        <v>16111</v>
      </c>
      <c r="H227" t="s">
        <v>35</v>
      </c>
      <c r="I227" t="s">
        <v>27</v>
      </c>
      <c r="J227" t="str">
        <f t="shared" si="10"/>
        <v>Debit Card</v>
      </c>
      <c r="K227" t="s">
        <v>15</v>
      </c>
      <c r="L227">
        <f t="shared" si="11"/>
        <v>16111</v>
      </c>
      <c r="M227" t="str">
        <f t="shared" si="12"/>
        <v>18</v>
      </c>
    </row>
    <row r="228" spans="1:13" x14ac:dyDescent="0.3">
      <c r="A228" t="s">
        <v>238</v>
      </c>
      <c r="B228" t="s">
        <v>146</v>
      </c>
      <c r="C228" s="4" t="s">
        <v>320</v>
      </c>
      <c r="D228" t="s">
        <v>26</v>
      </c>
      <c r="E228" t="s">
        <v>11</v>
      </c>
      <c r="F228">
        <v>2</v>
      </c>
      <c r="G228">
        <v>16111</v>
      </c>
      <c r="H228" t="s">
        <v>19</v>
      </c>
      <c r="I228" t="s">
        <v>32</v>
      </c>
      <c r="J228" t="str">
        <f t="shared" si="10"/>
        <v>Net Banking</v>
      </c>
      <c r="K228" t="s">
        <v>15</v>
      </c>
      <c r="L228">
        <f t="shared" si="11"/>
        <v>32222</v>
      </c>
      <c r="M228" t="str">
        <f t="shared" si="12"/>
        <v>11</v>
      </c>
    </row>
    <row r="229" spans="1:13" x14ac:dyDescent="0.3">
      <c r="A229" t="s">
        <v>239</v>
      </c>
      <c r="B229" t="s">
        <v>87</v>
      </c>
      <c r="C229" s="4" t="s">
        <v>407</v>
      </c>
      <c r="D229" t="s">
        <v>36</v>
      </c>
      <c r="E229" t="s">
        <v>23</v>
      </c>
      <c r="F229">
        <v>3</v>
      </c>
      <c r="G229">
        <v>3511</v>
      </c>
      <c r="H229" t="s">
        <v>13</v>
      </c>
      <c r="I229" t="s">
        <v>27</v>
      </c>
      <c r="J229" t="str">
        <f t="shared" si="10"/>
        <v>Debit Card</v>
      </c>
      <c r="K229" t="s">
        <v>18</v>
      </c>
      <c r="L229">
        <f t="shared" si="11"/>
        <v>10533</v>
      </c>
      <c r="M229" t="str">
        <f t="shared" si="12"/>
        <v>16</v>
      </c>
    </row>
    <row r="230" spans="1:13" x14ac:dyDescent="0.3">
      <c r="A230" t="s">
        <v>240</v>
      </c>
      <c r="B230" t="s">
        <v>97</v>
      </c>
      <c r="C230" s="4" t="s">
        <v>433</v>
      </c>
      <c r="D230" t="s">
        <v>16</v>
      </c>
      <c r="E230" t="s">
        <v>11</v>
      </c>
      <c r="F230">
        <v>3</v>
      </c>
      <c r="G230">
        <v>52111</v>
      </c>
      <c r="H230" t="s">
        <v>19</v>
      </c>
      <c r="I230" t="s">
        <v>14</v>
      </c>
      <c r="J230" t="str">
        <f>PROPER(TRIM(I231))</f>
        <v>Upi</v>
      </c>
      <c r="K230" t="s">
        <v>18</v>
      </c>
      <c r="L230">
        <f t="shared" si="11"/>
        <v>156333</v>
      </c>
      <c r="M230" t="str">
        <f t="shared" si="12"/>
        <v>17</v>
      </c>
    </row>
    <row r="231" spans="1:13" x14ac:dyDescent="0.3">
      <c r="A231" t="s">
        <v>241</v>
      </c>
      <c r="B231" t="s">
        <v>86</v>
      </c>
      <c r="C231" s="4" t="s">
        <v>325</v>
      </c>
      <c r="D231" t="s">
        <v>30</v>
      </c>
      <c r="E231" t="s">
        <v>31</v>
      </c>
      <c r="F231">
        <v>4</v>
      </c>
      <c r="G231">
        <v>9111</v>
      </c>
      <c r="H231" t="s">
        <v>24</v>
      </c>
      <c r="I231" t="s">
        <v>20</v>
      </c>
      <c r="J231" t="str">
        <f t="shared" si="10"/>
        <v>Upi</v>
      </c>
      <c r="K231" t="s">
        <v>18</v>
      </c>
      <c r="L231">
        <f t="shared" si="11"/>
        <v>36444</v>
      </c>
      <c r="M231" t="str">
        <f t="shared" si="12"/>
        <v>12</v>
      </c>
    </row>
    <row r="232" spans="1:13" x14ac:dyDescent="0.3">
      <c r="A232" t="s">
        <v>241</v>
      </c>
      <c r="B232" t="s">
        <v>218</v>
      </c>
      <c r="C232" s="4" t="s">
        <v>320</v>
      </c>
      <c r="D232" t="s">
        <v>22</v>
      </c>
      <c r="E232" t="s">
        <v>23</v>
      </c>
      <c r="F232">
        <v>1</v>
      </c>
      <c r="G232">
        <v>411</v>
      </c>
      <c r="H232" t="s">
        <v>35</v>
      </c>
      <c r="I232" t="s">
        <v>20</v>
      </c>
      <c r="J232" t="str">
        <f t="shared" si="10"/>
        <v>Upi</v>
      </c>
      <c r="K232" t="s">
        <v>18</v>
      </c>
      <c r="L232">
        <f t="shared" si="11"/>
        <v>411</v>
      </c>
      <c r="M232" t="str">
        <f t="shared" si="12"/>
        <v>11</v>
      </c>
    </row>
    <row r="233" spans="1:13" x14ac:dyDescent="0.3">
      <c r="A233" t="s">
        <v>242</v>
      </c>
      <c r="B233" t="s">
        <v>93</v>
      </c>
      <c r="C233" s="4" t="s">
        <v>335</v>
      </c>
      <c r="D233" t="s">
        <v>36</v>
      </c>
      <c r="E233" t="s">
        <v>23</v>
      </c>
      <c r="F233">
        <v>4</v>
      </c>
      <c r="G233">
        <v>1211</v>
      </c>
      <c r="H233" t="s">
        <v>24</v>
      </c>
      <c r="I233" t="s">
        <v>14</v>
      </c>
      <c r="J233" t="str">
        <f t="shared" si="10"/>
        <v>Credit Card</v>
      </c>
      <c r="K233" t="s">
        <v>15</v>
      </c>
      <c r="L233">
        <f t="shared" si="11"/>
        <v>4844</v>
      </c>
      <c r="M233" t="str">
        <f t="shared" si="12"/>
        <v>12</v>
      </c>
    </row>
    <row r="234" spans="1:13" x14ac:dyDescent="0.3">
      <c r="A234" t="s">
        <v>243</v>
      </c>
      <c r="B234" t="s">
        <v>127</v>
      </c>
      <c r="C234" s="4" t="s">
        <v>335</v>
      </c>
      <c r="D234" t="s">
        <v>16</v>
      </c>
      <c r="E234" t="s">
        <v>11</v>
      </c>
      <c r="F234">
        <v>4</v>
      </c>
      <c r="G234">
        <v>68111</v>
      </c>
      <c r="H234" t="s">
        <v>35</v>
      </c>
      <c r="I234" t="s">
        <v>14</v>
      </c>
      <c r="J234" t="str">
        <f t="shared" si="10"/>
        <v>Credit Card</v>
      </c>
      <c r="K234" t="s">
        <v>15</v>
      </c>
      <c r="L234">
        <f t="shared" si="11"/>
        <v>272444</v>
      </c>
      <c r="M234" t="str">
        <f t="shared" si="12"/>
        <v>12</v>
      </c>
    </row>
    <row r="235" spans="1:13" x14ac:dyDescent="0.3">
      <c r="A235" t="s">
        <v>244</v>
      </c>
      <c r="B235" t="s">
        <v>90</v>
      </c>
      <c r="C235" s="4" t="s">
        <v>434</v>
      </c>
      <c r="D235" t="s">
        <v>16</v>
      </c>
      <c r="E235" t="s">
        <v>11</v>
      </c>
      <c r="F235">
        <v>2</v>
      </c>
      <c r="G235">
        <v>52111</v>
      </c>
      <c r="H235" t="s">
        <v>24</v>
      </c>
      <c r="I235" t="s">
        <v>20</v>
      </c>
      <c r="J235" t="str">
        <f t="shared" si="10"/>
        <v>Upi</v>
      </c>
      <c r="K235" t="s">
        <v>21</v>
      </c>
      <c r="L235">
        <f t="shared" si="11"/>
        <v>104222</v>
      </c>
      <c r="M235" t="str">
        <f t="shared" si="12"/>
        <v>19</v>
      </c>
    </row>
    <row r="236" spans="1:13" x14ac:dyDescent="0.3">
      <c r="A236" t="s">
        <v>245</v>
      </c>
      <c r="B236" t="s">
        <v>246</v>
      </c>
      <c r="C236" s="4" t="s">
        <v>435</v>
      </c>
      <c r="D236" t="s">
        <v>34</v>
      </c>
      <c r="E236" t="s">
        <v>11</v>
      </c>
      <c r="F236">
        <v>2</v>
      </c>
      <c r="G236">
        <v>25111</v>
      </c>
      <c r="H236" t="s">
        <v>67</v>
      </c>
      <c r="I236" t="s">
        <v>27</v>
      </c>
      <c r="J236" t="str">
        <f t="shared" si="10"/>
        <v>Debit Card</v>
      </c>
      <c r="K236" t="s">
        <v>21</v>
      </c>
      <c r="L236">
        <f t="shared" si="11"/>
        <v>50222</v>
      </c>
      <c r="M236" t="str">
        <f t="shared" si="12"/>
        <v>18</v>
      </c>
    </row>
    <row r="237" spans="1:13" x14ac:dyDescent="0.3">
      <c r="A237" t="s">
        <v>247</v>
      </c>
      <c r="B237" t="s">
        <v>214</v>
      </c>
      <c r="C237" s="4" t="s">
        <v>436</v>
      </c>
      <c r="D237" t="s">
        <v>16</v>
      </c>
      <c r="E237" t="s">
        <v>11</v>
      </c>
      <c r="F237">
        <v>2</v>
      </c>
      <c r="G237">
        <v>45111</v>
      </c>
      <c r="H237" t="s">
        <v>35</v>
      </c>
      <c r="I237" t="s">
        <v>32</v>
      </c>
      <c r="J237" t="str">
        <f t="shared" si="10"/>
        <v>Net Banking</v>
      </c>
      <c r="K237" t="s">
        <v>15</v>
      </c>
      <c r="L237">
        <f t="shared" si="11"/>
        <v>90222</v>
      </c>
      <c r="M237" t="str">
        <f t="shared" si="12"/>
        <v>19</v>
      </c>
    </row>
    <row r="238" spans="1:13" x14ac:dyDescent="0.3">
      <c r="A238" t="s">
        <v>248</v>
      </c>
      <c r="B238" t="s">
        <v>87</v>
      </c>
      <c r="C238" s="4" t="s">
        <v>427</v>
      </c>
      <c r="D238" t="s">
        <v>30</v>
      </c>
      <c r="E238" t="s">
        <v>31</v>
      </c>
      <c r="F238">
        <v>3</v>
      </c>
      <c r="G238">
        <v>9111</v>
      </c>
      <c r="H238" t="s">
        <v>67</v>
      </c>
      <c r="I238" t="s">
        <v>14</v>
      </c>
      <c r="J238" t="str">
        <f t="shared" si="10"/>
        <v>Credit Card</v>
      </c>
      <c r="K238" t="s">
        <v>15</v>
      </c>
      <c r="L238">
        <f t="shared" si="11"/>
        <v>27333</v>
      </c>
      <c r="M238" t="str">
        <f t="shared" si="12"/>
        <v>13</v>
      </c>
    </row>
    <row r="239" spans="1:13" x14ac:dyDescent="0.3">
      <c r="A239" t="s">
        <v>249</v>
      </c>
      <c r="B239" t="s">
        <v>197</v>
      </c>
      <c r="C239" s="4" t="s">
        <v>372</v>
      </c>
      <c r="D239" t="s">
        <v>16</v>
      </c>
      <c r="E239" t="s">
        <v>11</v>
      </c>
      <c r="F239">
        <v>4</v>
      </c>
      <c r="G239">
        <v>45111</v>
      </c>
      <c r="H239" t="s">
        <v>19</v>
      </c>
      <c r="I239" t="s">
        <v>32</v>
      </c>
      <c r="J239" t="str">
        <f t="shared" si="10"/>
        <v>Net Banking</v>
      </c>
      <c r="K239" t="s">
        <v>18</v>
      </c>
      <c r="L239">
        <f t="shared" si="11"/>
        <v>180444</v>
      </c>
      <c r="M239" t="str">
        <f t="shared" si="12"/>
        <v>12</v>
      </c>
    </row>
    <row r="240" spans="1:13" x14ac:dyDescent="0.3">
      <c r="A240" t="s">
        <v>250</v>
      </c>
      <c r="B240" t="s">
        <v>118</v>
      </c>
      <c r="C240" s="4" t="s">
        <v>329</v>
      </c>
      <c r="D240" t="s">
        <v>22</v>
      </c>
      <c r="E240" t="s">
        <v>23</v>
      </c>
      <c r="F240">
        <v>4</v>
      </c>
      <c r="G240">
        <v>411</v>
      </c>
      <c r="H240" t="s">
        <v>13</v>
      </c>
      <c r="I240" t="s">
        <v>27</v>
      </c>
      <c r="J240" t="str">
        <f>PROPER(TRIM(I241))</f>
        <v>Net Banking</v>
      </c>
      <c r="K240" t="s">
        <v>21</v>
      </c>
      <c r="L240">
        <f t="shared" si="11"/>
        <v>1644</v>
      </c>
      <c r="M240" t="str">
        <f t="shared" si="12"/>
        <v>11</v>
      </c>
    </row>
    <row r="241" spans="1:13" x14ac:dyDescent="0.3">
      <c r="A241" t="s">
        <v>251</v>
      </c>
      <c r="B241" t="s">
        <v>222</v>
      </c>
      <c r="C241" s="4" t="s">
        <v>437</v>
      </c>
      <c r="D241" t="s">
        <v>26</v>
      </c>
      <c r="E241" t="s">
        <v>11</v>
      </c>
      <c r="F241">
        <v>4</v>
      </c>
      <c r="G241">
        <v>22111</v>
      </c>
      <c r="H241" t="s">
        <v>17</v>
      </c>
      <c r="I241" t="s">
        <v>32</v>
      </c>
      <c r="J241" t="str">
        <f t="shared" si="10"/>
        <v>Net Banking</v>
      </c>
      <c r="K241" t="s">
        <v>21</v>
      </c>
      <c r="L241">
        <f t="shared" si="11"/>
        <v>88444</v>
      </c>
      <c r="M241" t="str">
        <f t="shared" si="12"/>
        <v>15</v>
      </c>
    </row>
    <row r="242" spans="1:13" x14ac:dyDescent="0.3">
      <c r="A242" t="s">
        <v>251</v>
      </c>
      <c r="B242" t="s">
        <v>148</v>
      </c>
      <c r="C242" s="4" t="s">
        <v>320</v>
      </c>
      <c r="D242" t="s">
        <v>34</v>
      </c>
      <c r="E242" t="s">
        <v>11</v>
      </c>
      <c r="F242">
        <v>1</v>
      </c>
      <c r="G242">
        <v>25111</v>
      </c>
      <c r="H242" t="s">
        <v>24</v>
      </c>
      <c r="I242" t="s">
        <v>27</v>
      </c>
      <c r="J242" t="str">
        <f t="shared" si="10"/>
        <v>Debit Card</v>
      </c>
      <c r="K242" t="s">
        <v>18</v>
      </c>
      <c r="L242">
        <f t="shared" si="11"/>
        <v>25111</v>
      </c>
      <c r="M242" t="str">
        <f t="shared" si="12"/>
        <v>11</v>
      </c>
    </row>
    <row r="243" spans="1:13" x14ac:dyDescent="0.3">
      <c r="A243" t="s">
        <v>252</v>
      </c>
      <c r="B243" t="s">
        <v>174</v>
      </c>
      <c r="C243" s="4" t="s">
        <v>329</v>
      </c>
      <c r="D243" t="s">
        <v>30</v>
      </c>
      <c r="E243" t="s">
        <v>31</v>
      </c>
      <c r="F243">
        <v>1</v>
      </c>
      <c r="G243">
        <v>9111</v>
      </c>
      <c r="H243" t="s">
        <v>13</v>
      </c>
      <c r="I243" t="s">
        <v>14</v>
      </c>
      <c r="J243" t="str">
        <f t="shared" si="10"/>
        <v>Credit Card</v>
      </c>
      <c r="K243" t="s">
        <v>18</v>
      </c>
      <c r="L243">
        <f t="shared" si="11"/>
        <v>9111</v>
      </c>
      <c r="M243" t="str">
        <f t="shared" si="12"/>
        <v>11</v>
      </c>
    </row>
    <row r="244" spans="1:13" x14ac:dyDescent="0.3">
      <c r="A244" t="s">
        <v>253</v>
      </c>
      <c r="B244" t="s">
        <v>118</v>
      </c>
      <c r="C244" s="4" t="s">
        <v>365</v>
      </c>
      <c r="D244" t="s">
        <v>28</v>
      </c>
      <c r="E244" t="s">
        <v>23</v>
      </c>
      <c r="F244">
        <v>4</v>
      </c>
      <c r="G244">
        <v>1811</v>
      </c>
      <c r="H244" t="s">
        <v>37</v>
      </c>
      <c r="I244" t="s">
        <v>14</v>
      </c>
      <c r="J244" t="str">
        <f t="shared" si="10"/>
        <v>Credit Card</v>
      </c>
      <c r="K244" t="s">
        <v>15</v>
      </c>
      <c r="L244">
        <f t="shared" si="11"/>
        <v>7244</v>
      </c>
      <c r="M244" t="str">
        <f t="shared" si="12"/>
        <v>13</v>
      </c>
    </row>
    <row r="245" spans="1:13" x14ac:dyDescent="0.3">
      <c r="A245" t="s">
        <v>254</v>
      </c>
      <c r="B245" t="s">
        <v>255</v>
      </c>
      <c r="C245" s="4" t="s">
        <v>256</v>
      </c>
      <c r="D245" t="s">
        <v>28</v>
      </c>
      <c r="E245" t="s">
        <v>23</v>
      </c>
      <c r="F245">
        <v>1</v>
      </c>
      <c r="G245">
        <v>711</v>
      </c>
      <c r="H245" t="s">
        <v>19</v>
      </c>
      <c r="I245" t="s">
        <v>20</v>
      </c>
      <c r="J245" t="str">
        <f t="shared" si="10"/>
        <v>Upi</v>
      </c>
      <c r="K245" t="s">
        <v>21</v>
      </c>
      <c r="L245">
        <f t="shared" si="11"/>
        <v>711</v>
      </c>
      <c r="M245" t="str">
        <f t="shared" si="12"/>
        <v>5/</v>
      </c>
    </row>
    <row r="246" spans="1:13" x14ac:dyDescent="0.3">
      <c r="A246" t="s">
        <v>257</v>
      </c>
      <c r="B246" t="s">
        <v>143</v>
      </c>
      <c r="C246" s="4" t="s">
        <v>438</v>
      </c>
      <c r="D246" t="s">
        <v>16</v>
      </c>
      <c r="E246" t="s">
        <v>11</v>
      </c>
      <c r="F246">
        <v>2</v>
      </c>
      <c r="G246">
        <v>61111</v>
      </c>
      <c r="H246" t="s">
        <v>13</v>
      </c>
      <c r="I246" t="s">
        <v>27</v>
      </c>
      <c r="J246" t="str">
        <f t="shared" si="10"/>
        <v>Debit Card</v>
      </c>
      <c r="K246" t="s">
        <v>15</v>
      </c>
      <c r="L246">
        <f t="shared" si="11"/>
        <v>122222</v>
      </c>
      <c r="M246" t="str">
        <f t="shared" si="12"/>
        <v>15</v>
      </c>
    </row>
    <row r="247" spans="1:13" x14ac:dyDescent="0.3">
      <c r="A247" t="s">
        <v>258</v>
      </c>
      <c r="B247" t="s">
        <v>199</v>
      </c>
      <c r="C247" s="4" t="s">
        <v>400</v>
      </c>
      <c r="D247" t="s">
        <v>34</v>
      </c>
      <c r="E247" t="s">
        <v>11</v>
      </c>
      <c r="F247">
        <v>1</v>
      </c>
      <c r="G247">
        <v>25111</v>
      </c>
      <c r="H247" t="s">
        <v>65</v>
      </c>
      <c r="I247" t="s">
        <v>25</v>
      </c>
      <c r="J247" t="str">
        <f t="shared" si="10"/>
        <v>Cash</v>
      </c>
      <c r="K247" t="s">
        <v>15</v>
      </c>
      <c r="L247">
        <f t="shared" si="11"/>
        <v>25111</v>
      </c>
      <c r="M247" t="str">
        <f t="shared" si="12"/>
        <v>19</v>
      </c>
    </row>
    <row r="248" spans="1:13" x14ac:dyDescent="0.3">
      <c r="A248" t="s">
        <v>259</v>
      </c>
      <c r="B248" t="s">
        <v>129</v>
      </c>
      <c r="C248" s="4" t="s">
        <v>260</v>
      </c>
      <c r="D248" t="s">
        <v>36</v>
      </c>
      <c r="E248" t="s">
        <v>23</v>
      </c>
      <c r="F248">
        <v>1</v>
      </c>
      <c r="G248">
        <v>2511</v>
      </c>
      <c r="H248" t="s">
        <v>65</v>
      </c>
      <c r="I248" t="s">
        <v>14</v>
      </c>
      <c r="J248" t="str">
        <f t="shared" si="10"/>
        <v>Credit Card</v>
      </c>
      <c r="K248" t="s">
        <v>18</v>
      </c>
      <c r="L248">
        <f t="shared" si="11"/>
        <v>2511</v>
      </c>
      <c r="M248" t="str">
        <f t="shared" si="12"/>
        <v>5/</v>
      </c>
    </row>
    <row r="249" spans="1:13" x14ac:dyDescent="0.3">
      <c r="A249" t="s">
        <v>261</v>
      </c>
      <c r="B249" t="s">
        <v>131</v>
      </c>
      <c r="C249" s="4" t="s">
        <v>319</v>
      </c>
      <c r="D249" t="s">
        <v>22</v>
      </c>
      <c r="E249" t="s">
        <v>23</v>
      </c>
      <c r="F249">
        <v>4</v>
      </c>
      <c r="G249">
        <v>1111</v>
      </c>
      <c r="H249" t="s">
        <v>29</v>
      </c>
      <c r="I249" t="s">
        <v>27</v>
      </c>
      <c r="J249" t="str">
        <f t="shared" si="10"/>
        <v>Debit Card</v>
      </c>
      <c r="K249" t="s">
        <v>21</v>
      </c>
      <c r="L249">
        <f t="shared" si="11"/>
        <v>4444</v>
      </c>
      <c r="M249" t="str">
        <f t="shared" si="12"/>
        <v>19</v>
      </c>
    </row>
    <row r="250" spans="1:13" x14ac:dyDescent="0.3">
      <c r="A250" t="s">
        <v>262</v>
      </c>
      <c r="B250" t="s">
        <v>96</v>
      </c>
      <c r="C250" s="4" t="s">
        <v>335</v>
      </c>
      <c r="D250" t="s">
        <v>26</v>
      </c>
      <c r="E250" t="s">
        <v>11</v>
      </c>
      <c r="F250">
        <v>3</v>
      </c>
      <c r="G250">
        <v>12111</v>
      </c>
      <c r="H250" t="s">
        <v>17</v>
      </c>
      <c r="I250" t="s">
        <v>20</v>
      </c>
      <c r="J250" t="str">
        <f>PROPER(TRIM(I251))</f>
        <v>Debit Card</v>
      </c>
      <c r="K250" t="s">
        <v>21</v>
      </c>
      <c r="L250">
        <f t="shared" si="11"/>
        <v>36333</v>
      </c>
      <c r="M250" t="str">
        <f t="shared" si="12"/>
        <v>12</v>
      </c>
    </row>
    <row r="251" spans="1:13" x14ac:dyDescent="0.3">
      <c r="A251" t="s">
        <v>263</v>
      </c>
      <c r="B251" t="s">
        <v>213</v>
      </c>
      <c r="C251" s="4" t="s">
        <v>332</v>
      </c>
      <c r="D251" t="s">
        <v>30</v>
      </c>
      <c r="E251" t="s">
        <v>31</v>
      </c>
      <c r="F251">
        <v>3</v>
      </c>
      <c r="G251">
        <v>6511</v>
      </c>
      <c r="H251" t="s">
        <v>35</v>
      </c>
      <c r="I251" t="s">
        <v>27</v>
      </c>
      <c r="J251" t="str">
        <f t="shared" si="10"/>
        <v>Debit Card</v>
      </c>
      <c r="K251" t="s">
        <v>21</v>
      </c>
      <c r="L251">
        <f t="shared" si="11"/>
        <v>19533</v>
      </c>
      <c r="M251" t="str">
        <f t="shared" si="12"/>
        <v>14</v>
      </c>
    </row>
    <row r="252" spans="1:13" x14ac:dyDescent="0.3">
      <c r="A252" t="s">
        <v>263</v>
      </c>
      <c r="B252" t="s">
        <v>162</v>
      </c>
      <c r="C252" s="4" t="s">
        <v>357</v>
      </c>
      <c r="D252" t="s">
        <v>22</v>
      </c>
      <c r="E252" t="s">
        <v>23</v>
      </c>
      <c r="F252">
        <v>2</v>
      </c>
      <c r="G252">
        <v>411</v>
      </c>
      <c r="H252" t="s">
        <v>67</v>
      </c>
      <c r="I252" t="s">
        <v>27</v>
      </c>
      <c r="J252" t="str">
        <f t="shared" si="10"/>
        <v>Debit Card</v>
      </c>
      <c r="K252" t="s">
        <v>15</v>
      </c>
      <c r="L252">
        <f t="shared" si="11"/>
        <v>822</v>
      </c>
      <c r="M252" t="str">
        <f t="shared" si="12"/>
        <v>12</v>
      </c>
    </row>
    <row r="253" spans="1:13" x14ac:dyDescent="0.3">
      <c r="A253" t="s">
        <v>264</v>
      </c>
      <c r="B253" t="s">
        <v>211</v>
      </c>
      <c r="C253" s="4" t="s">
        <v>405</v>
      </c>
      <c r="D253" t="s">
        <v>22</v>
      </c>
      <c r="E253" t="s">
        <v>23</v>
      </c>
      <c r="F253">
        <v>4</v>
      </c>
      <c r="G253">
        <v>711</v>
      </c>
      <c r="H253" t="s">
        <v>13</v>
      </c>
      <c r="I253" t="s">
        <v>25</v>
      </c>
      <c r="J253" t="str">
        <f t="shared" si="10"/>
        <v>Cash</v>
      </c>
      <c r="K253" t="s">
        <v>15</v>
      </c>
      <c r="L253">
        <f t="shared" si="11"/>
        <v>2844</v>
      </c>
      <c r="M253" t="str">
        <f t="shared" si="12"/>
        <v>11</v>
      </c>
    </row>
    <row r="254" spans="1:13" x14ac:dyDescent="0.3">
      <c r="A254" t="s">
        <v>265</v>
      </c>
      <c r="B254" t="s">
        <v>129</v>
      </c>
      <c r="C254" s="4" t="s">
        <v>321</v>
      </c>
      <c r="D254" t="s">
        <v>10</v>
      </c>
      <c r="E254" t="s">
        <v>11</v>
      </c>
      <c r="F254">
        <v>4</v>
      </c>
      <c r="G254">
        <v>42111</v>
      </c>
      <c r="H254" t="s">
        <v>17</v>
      </c>
      <c r="I254" t="s">
        <v>27</v>
      </c>
      <c r="J254" t="str">
        <f t="shared" si="10"/>
        <v>Debit Card</v>
      </c>
      <c r="K254" t="s">
        <v>21</v>
      </c>
      <c r="L254">
        <f t="shared" si="11"/>
        <v>168444</v>
      </c>
      <c r="M254" t="str">
        <f t="shared" si="12"/>
        <v>11</v>
      </c>
    </row>
    <row r="255" spans="1:13" x14ac:dyDescent="0.3">
      <c r="A255" t="s">
        <v>266</v>
      </c>
      <c r="B255" t="s">
        <v>99</v>
      </c>
      <c r="C255" s="4" t="s">
        <v>340</v>
      </c>
      <c r="D255" t="s">
        <v>36</v>
      </c>
      <c r="E255" t="s">
        <v>23</v>
      </c>
      <c r="F255">
        <v>1</v>
      </c>
      <c r="G255">
        <v>1811</v>
      </c>
      <c r="H255" t="s">
        <v>17</v>
      </c>
      <c r="I255" t="s">
        <v>32</v>
      </c>
      <c r="J255" t="str">
        <f t="shared" si="10"/>
        <v>Net Banking</v>
      </c>
      <c r="K255" t="s">
        <v>15</v>
      </c>
      <c r="L255">
        <f t="shared" si="11"/>
        <v>1811</v>
      </c>
      <c r="M255" t="str">
        <f t="shared" si="12"/>
        <v>15</v>
      </c>
    </row>
    <row r="256" spans="1:13" x14ac:dyDescent="0.3">
      <c r="A256" t="s">
        <v>267</v>
      </c>
      <c r="B256" t="s">
        <v>125</v>
      </c>
      <c r="C256" s="4" t="s">
        <v>358</v>
      </c>
      <c r="D256" t="s">
        <v>30</v>
      </c>
      <c r="E256" t="s">
        <v>31</v>
      </c>
      <c r="F256">
        <v>1</v>
      </c>
      <c r="G256">
        <v>2511</v>
      </c>
      <c r="H256" t="s">
        <v>67</v>
      </c>
      <c r="I256" t="s">
        <v>27</v>
      </c>
      <c r="J256" t="str">
        <f t="shared" si="10"/>
        <v>Debit Card</v>
      </c>
      <c r="K256" t="s">
        <v>15</v>
      </c>
      <c r="L256">
        <f t="shared" si="11"/>
        <v>2511</v>
      </c>
      <c r="M256" t="str">
        <f t="shared" si="12"/>
        <v>11</v>
      </c>
    </row>
    <row r="257" spans="1:13" x14ac:dyDescent="0.3">
      <c r="A257" t="s">
        <v>268</v>
      </c>
      <c r="B257" t="s">
        <v>197</v>
      </c>
      <c r="C257" s="4" t="s">
        <v>412</v>
      </c>
      <c r="D257" t="s">
        <v>26</v>
      </c>
      <c r="E257" t="s">
        <v>11</v>
      </c>
      <c r="F257">
        <v>2</v>
      </c>
      <c r="G257">
        <v>16111</v>
      </c>
      <c r="H257" t="s">
        <v>24</v>
      </c>
      <c r="I257" t="s">
        <v>14</v>
      </c>
      <c r="J257" t="str">
        <f t="shared" si="10"/>
        <v>Credit Card</v>
      </c>
      <c r="K257" t="s">
        <v>15</v>
      </c>
      <c r="L257">
        <f t="shared" si="11"/>
        <v>32222</v>
      </c>
      <c r="M257" t="str">
        <f t="shared" si="12"/>
        <v>12</v>
      </c>
    </row>
    <row r="258" spans="1:13" x14ac:dyDescent="0.3">
      <c r="A258" t="s">
        <v>269</v>
      </c>
      <c r="B258" t="s">
        <v>92</v>
      </c>
      <c r="C258" s="4" t="s">
        <v>439</v>
      </c>
      <c r="D258" t="s">
        <v>16</v>
      </c>
      <c r="E258" t="s">
        <v>11</v>
      </c>
      <c r="F258">
        <v>3</v>
      </c>
      <c r="G258">
        <v>61111</v>
      </c>
      <c r="H258" t="s">
        <v>67</v>
      </c>
      <c r="I258" t="s">
        <v>14</v>
      </c>
      <c r="J258" t="str">
        <f t="shared" ref="J258:J299" si="14">PROPER(TRIM(I258))</f>
        <v>Credit Card</v>
      </c>
      <c r="K258" t="s">
        <v>18</v>
      </c>
      <c r="L258">
        <f t="shared" ref="L258:L303" si="15">F258*G258</f>
        <v>183333</v>
      </c>
      <c r="M258" t="str">
        <f t="shared" ref="M258:M301" si="16">IFERROR(MID(C258,4,2),"")</f>
        <v>17</v>
      </c>
    </row>
    <row r="259" spans="1:13" x14ac:dyDescent="0.3">
      <c r="A259" t="s">
        <v>270</v>
      </c>
      <c r="B259" t="s">
        <v>181</v>
      </c>
      <c r="C259" s="4" t="s">
        <v>384</v>
      </c>
      <c r="D259" t="s">
        <v>16</v>
      </c>
      <c r="E259" t="s">
        <v>11</v>
      </c>
      <c r="F259">
        <v>2</v>
      </c>
      <c r="G259">
        <v>52111</v>
      </c>
      <c r="H259" t="s">
        <v>37</v>
      </c>
      <c r="I259" t="s">
        <v>25</v>
      </c>
      <c r="J259" t="str">
        <f t="shared" si="14"/>
        <v>Cash</v>
      </c>
      <c r="K259" t="s">
        <v>21</v>
      </c>
      <c r="L259">
        <f t="shared" si="15"/>
        <v>104222</v>
      </c>
      <c r="M259" t="str">
        <f t="shared" si="16"/>
        <v>12</v>
      </c>
    </row>
    <row r="260" spans="1:13" x14ac:dyDescent="0.3">
      <c r="A260" t="s">
        <v>271</v>
      </c>
      <c r="B260" t="s">
        <v>74</v>
      </c>
      <c r="C260" s="4" t="s">
        <v>411</v>
      </c>
      <c r="D260" t="s">
        <v>16</v>
      </c>
      <c r="E260" t="s">
        <v>23</v>
      </c>
      <c r="F260">
        <v>1</v>
      </c>
      <c r="G260">
        <v>1111</v>
      </c>
      <c r="H260" t="s">
        <v>24</v>
      </c>
      <c r="I260" t="s">
        <v>25</v>
      </c>
      <c r="J260" t="str">
        <f>PROPER(TRIM(I261))</f>
        <v>Debit Card</v>
      </c>
      <c r="K260" t="s">
        <v>21</v>
      </c>
      <c r="L260">
        <f t="shared" si="15"/>
        <v>1111</v>
      </c>
      <c r="M260" t="str">
        <f t="shared" si="16"/>
        <v>17</v>
      </c>
    </row>
    <row r="261" spans="1:13" x14ac:dyDescent="0.3">
      <c r="A261" t="s">
        <v>272</v>
      </c>
      <c r="B261" t="s">
        <v>109</v>
      </c>
      <c r="C261" s="4" t="s">
        <v>440</v>
      </c>
      <c r="D261" t="s">
        <v>36</v>
      </c>
      <c r="E261" t="s">
        <v>23</v>
      </c>
      <c r="F261">
        <v>2</v>
      </c>
      <c r="G261">
        <v>3511</v>
      </c>
      <c r="H261" t="s">
        <v>13</v>
      </c>
      <c r="I261" t="s">
        <v>27</v>
      </c>
      <c r="J261" t="str">
        <f t="shared" si="14"/>
        <v>Debit Card</v>
      </c>
      <c r="K261" t="s">
        <v>15</v>
      </c>
      <c r="L261">
        <f t="shared" si="15"/>
        <v>7022</v>
      </c>
      <c r="M261" t="str">
        <f t="shared" si="16"/>
        <v>12</v>
      </c>
    </row>
    <row r="262" spans="1:13" x14ac:dyDescent="0.3">
      <c r="A262" t="s">
        <v>272</v>
      </c>
      <c r="B262" t="s">
        <v>74</v>
      </c>
      <c r="C262" s="4" t="s">
        <v>441</v>
      </c>
      <c r="D262" t="s">
        <v>10</v>
      </c>
      <c r="E262" t="s">
        <v>11</v>
      </c>
      <c r="F262">
        <v>4</v>
      </c>
      <c r="G262">
        <v>22111</v>
      </c>
      <c r="H262" t="s">
        <v>35</v>
      </c>
      <c r="I262" t="s">
        <v>14</v>
      </c>
      <c r="J262" t="str">
        <f t="shared" si="14"/>
        <v>Credit Card</v>
      </c>
      <c r="K262" t="s">
        <v>21</v>
      </c>
      <c r="L262">
        <f t="shared" si="15"/>
        <v>88444</v>
      </c>
      <c r="M262" t="str">
        <f t="shared" si="16"/>
        <v>13</v>
      </c>
    </row>
    <row r="263" spans="1:13" x14ac:dyDescent="0.3">
      <c r="A263" t="s">
        <v>273</v>
      </c>
      <c r="B263" t="s">
        <v>118</v>
      </c>
      <c r="C263" s="4" t="s">
        <v>376</v>
      </c>
      <c r="D263" t="s">
        <v>30</v>
      </c>
      <c r="E263" t="s">
        <v>31</v>
      </c>
      <c r="F263">
        <v>3</v>
      </c>
      <c r="G263">
        <v>4111</v>
      </c>
      <c r="H263" t="s">
        <v>13</v>
      </c>
      <c r="I263" t="s">
        <v>39</v>
      </c>
      <c r="J263" t="str">
        <f t="shared" si="14"/>
        <v>Upi</v>
      </c>
      <c r="K263" t="s">
        <v>18</v>
      </c>
      <c r="L263">
        <f t="shared" si="15"/>
        <v>12333</v>
      </c>
      <c r="M263" t="str">
        <f t="shared" si="16"/>
        <v>12</v>
      </c>
    </row>
    <row r="264" spans="1:13" x14ac:dyDescent="0.3">
      <c r="A264" t="s">
        <v>274</v>
      </c>
      <c r="B264" t="s">
        <v>115</v>
      </c>
      <c r="C264" s="4" t="s">
        <v>411</v>
      </c>
      <c r="D264" t="s">
        <v>28</v>
      </c>
      <c r="E264" t="s">
        <v>23</v>
      </c>
      <c r="F264">
        <v>4</v>
      </c>
      <c r="G264">
        <v>711</v>
      </c>
      <c r="H264" t="s">
        <v>29</v>
      </c>
      <c r="I264" t="s">
        <v>25</v>
      </c>
      <c r="J264" t="str">
        <f t="shared" si="14"/>
        <v>Cash</v>
      </c>
      <c r="K264" t="s">
        <v>65</v>
      </c>
      <c r="L264">
        <f t="shared" si="15"/>
        <v>2844</v>
      </c>
      <c r="M264" t="str">
        <f t="shared" si="16"/>
        <v>17</v>
      </c>
    </row>
    <row r="265" spans="1:13" x14ac:dyDescent="0.3">
      <c r="A265" t="s">
        <v>275</v>
      </c>
      <c r="B265" t="s">
        <v>127</v>
      </c>
      <c r="C265" s="4" t="s">
        <v>342</v>
      </c>
      <c r="D265" t="s">
        <v>10</v>
      </c>
      <c r="E265" t="s">
        <v>11</v>
      </c>
      <c r="F265">
        <v>1</v>
      </c>
      <c r="G265">
        <v>15111</v>
      </c>
      <c r="H265" t="s">
        <v>24</v>
      </c>
      <c r="I265" t="s">
        <v>20</v>
      </c>
      <c r="J265" t="str">
        <f t="shared" si="14"/>
        <v>Upi</v>
      </c>
      <c r="K265" t="s">
        <v>18</v>
      </c>
      <c r="L265">
        <f t="shared" si="15"/>
        <v>15111</v>
      </c>
      <c r="M265" t="str">
        <f t="shared" si="16"/>
        <v>18</v>
      </c>
    </row>
    <row r="266" spans="1:13" x14ac:dyDescent="0.3">
      <c r="A266" t="s">
        <v>276</v>
      </c>
      <c r="B266" t="s">
        <v>87</v>
      </c>
      <c r="C266" s="4" t="s">
        <v>343</v>
      </c>
      <c r="D266" t="s">
        <v>26</v>
      </c>
      <c r="E266" t="s">
        <v>11</v>
      </c>
      <c r="F266">
        <v>2</v>
      </c>
      <c r="G266">
        <v>22111</v>
      </c>
      <c r="H266" t="s">
        <v>66</v>
      </c>
      <c r="I266" t="s">
        <v>14</v>
      </c>
      <c r="J266" t="str">
        <f t="shared" si="14"/>
        <v>Credit Card</v>
      </c>
      <c r="K266" t="s">
        <v>21</v>
      </c>
      <c r="L266">
        <f t="shared" si="15"/>
        <v>44222</v>
      </c>
      <c r="M266" t="str">
        <f t="shared" si="16"/>
        <v>11</v>
      </c>
    </row>
    <row r="267" spans="1:13" x14ac:dyDescent="0.3">
      <c r="A267" t="s">
        <v>277</v>
      </c>
      <c r="B267" t="s">
        <v>218</v>
      </c>
      <c r="C267" s="4" t="s">
        <v>439</v>
      </c>
      <c r="D267" t="s">
        <v>16</v>
      </c>
      <c r="E267" t="s">
        <v>11</v>
      </c>
      <c r="F267">
        <v>2</v>
      </c>
      <c r="G267">
        <v>45111</v>
      </c>
      <c r="H267" t="s">
        <v>37</v>
      </c>
      <c r="I267" t="s">
        <v>14</v>
      </c>
      <c r="J267" t="str">
        <f t="shared" si="14"/>
        <v>Credit Card</v>
      </c>
      <c r="K267" t="s">
        <v>18</v>
      </c>
      <c r="L267">
        <f t="shared" si="15"/>
        <v>90222</v>
      </c>
      <c r="M267" t="str">
        <f t="shared" si="16"/>
        <v>17</v>
      </c>
    </row>
    <row r="268" spans="1:13" x14ac:dyDescent="0.3">
      <c r="A268" t="s">
        <v>278</v>
      </c>
      <c r="B268" t="s">
        <v>148</v>
      </c>
      <c r="C268" s="4" t="s">
        <v>323</v>
      </c>
      <c r="D268" t="s">
        <v>30</v>
      </c>
      <c r="E268" t="s">
        <v>31</v>
      </c>
      <c r="F268">
        <v>1</v>
      </c>
      <c r="G268">
        <v>4111</v>
      </c>
      <c r="H268" t="s">
        <v>13</v>
      </c>
      <c r="I268" t="s">
        <v>25</v>
      </c>
      <c r="J268" t="str">
        <f t="shared" si="14"/>
        <v>Cash</v>
      </c>
      <c r="K268" t="s">
        <v>21</v>
      </c>
      <c r="L268">
        <f t="shared" si="15"/>
        <v>4111</v>
      </c>
      <c r="M268" t="str">
        <f t="shared" si="16"/>
        <v>12</v>
      </c>
    </row>
    <row r="269" spans="1:13" x14ac:dyDescent="0.3">
      <c r="A269" t="s">
        <v>279</v>
      </c>
      <c r="B269" t="s">
        <v>78</v>
      </c>
      <c r="C269" s="4" t="s">
        <v>442</v>
      </c>
      <c r="D269" t="s">
        <v>10</v>
      </c>
      <c r="E269" t="s">
        <v>23</v>
      </c>
      <c r="F269" t="s">
        <v>40</v>
      </c>
      <c r="G269">
        <v>1811</v>
      </c>
      <c r="H269" t="s">
        <v>35</v>
      </c>
      <c r="I269" t="s">
        <v>14</v>
      </c>
      <c r="J269" t="str">
        <f t="shared" si="14"/>
        <v>Credit Card</v>
      </c>
      <c r="K269" t="s">
        <v>15</v>
      </c>
      <c r="L269">
        <f t="shared" si="15"/>
        <v>7244</v>
      </c>
      <c r="M269" t="str">
        <f t="shared" si="16"/>
        <v>19</v>
      </c>
    </row>
    <row r="270" spans="1:13" x14ac:dyDescent="0.3">
      <c r="A270" t="s">
        <v>280</v>
      </c>
      <c r="B270" t="s">
        <v>118</v>
      </c>
      <c r="C270" s="4" t="s">
        <v>404</v>
      </c>
      <c r="D270" t="s">
        <v>30</v>
      </c>
      <c r="E270" t="s">
        <v>31</v>
      </c>
      <c r="F270">
        <v>3</v>
      </c>
      <c r="G270">
        <v>9111</v>
      </c>
      <c r="H270" t="s">
        <v>35</v>
      </c>
      <c r="I270" t="s">
        <v>25</v>
      </c>
      <c r="J270" t="str">
        <f>PROPER(TRIM(I271))</f>
        <v>Upi</v>
      </c>
      <c r="K270" t="s">
        <v>21</v>
      </c>
      <c r="L270">
        <f t="shared" si="15"/>
        <v>27333</v>
      </c>
      <c r="M270" t="str">
        <f t="shared" si="16"/>
        <v>15</v>
      </c>
    </row>
    <row r="271" spans="1:13" x14ac:dyDescent="0.3">
      <c r="A271" t="s">
        <v>281</v>
      </c>
      <c r="B271" t="s">
        <v>86</v>
      </c>
      <c r="C271" s="4" t="s">
        <v>356</v>
      </c>
      <c r="D271" t="s">
        <v>30</v>
      </c>
      <c r="E271" t="s">
        <v>31</v>
      </c>
      <c r="F271">
        <v>1</v>
      </c>
      <c r="G271">
        <v>9111</v>
      </c>
      <c r="H271" t="s">
        <v>37</v>
      </c>
      <c r="I271" t="s">
        <v>20</v>
      </c>
      <c r="J271" t="str">
        <f t="shared" si="14"/>
        <v>Upi</v>
      </c>
      <c r="K271" t="s">
        <v>21</v>
      </c>
      <c r="L271">
        <f t="shared" si="15"/>
        <v>9111</v>
      </c>
      <c r="M271" t="str">
        <f t="shared" si="16"/>
        <v>17</v>
      </c>
    </row>
    <row r="272" spans="1:13" x14ac:dyDescent="0.3">
      <c r="A272" t="s">
        <v>281</v>
      </c>
      <c r="B272" t="s">
        <v>227</v>
      </c>
      <c r="C272" s="4" t="s">
        <v>381</v>
      </c>
      <c r="D272" t="s">
        <v>22</v>
      </c>
      <c r="E272" t="s">
        <v>23</v>
      </c>
      <c r="F272">
        <v>2</v>
      </c>
      <c r="G272">
        <v>411</v>
      </c>
      <c r="H272" t="s">
        <v>35</v>
      </c>
      <c r="I272" t="s">
        <v>20</v>
      </c>
      <c r="J272" t="str">
        <f t="shared" si="14"/>
        <v>Upi</v>
      </c>
      <c r="K272" t="s">
        <v>15</v>
      </c>
      <c r="L272">
        <f t="shared" si="15"/>
        <v>822</v>
      </c>
      <c r="M272" t="str">
        <f t="shared" si="16"/>
        <v>12</v>
      </c>
    </row>
    <row r="273" spans="1:13" x14ac:dyDescent="0.3">
      <c r="A273" t="s">
        <v>282</v>
      </c>
      <c r="B273" t="s">
        <v>231</v>
      </c>
      <c r="C273" s="4" t="s">
        <v>418</v>
      </c>
      <c r="D273" t="s">
        <v>28</v>
      </c>
      <c r="E273" t="s">
        <v>23</v>
      </c>
      <c r="F273">
        <v>1</v>
      </c>
      <c r="G273" s="5">
        <v>1811</v>
      </c>
      <c r="H273" t="s">
        <v>17</v>
      </c>
      <c r="I273" t="s">
        <v>25</v>
      </c>
      <c r="J273" t="str">
        <f t="shared" si="14"/>
        <v>Cash</v>
      </c>
      <c r="K273" t="s">
        <v>15</v>
      </c>
      <c r="L273">
        <f t="shared" si="15"/>
        <v>1811</v>
      </c>
      <c r="M273" t="str">
        <f t="shared" si="16"/>
        <v>13</v>
      </c>
    </row>
    <row r="274" spans="1:13" x14ac:dyDescent="0.3">
      <c r="A274" t="s">
        <v>283</v>
      </c>
      <c r="B274" t="s">
        <v>74</v>
      </c>
      <c r="C274" s="4" t="s">
        <v>284</v>
      </c>
      <c r="D274" t="s">
        <v>22</v>
      </c>
      <c r="E274" t="s">
        <v>23</v>
      </c>
      <c r="F274">
        <v>2</v>
      </c>
      <c r="G274">
        <v>711</v>
      </c>
      <c r="H274" t="s">
        <v>13</v>
      </c>
      <c r="I274" t="s">
        <v>25</v>
      </c>
      <c r="J274" t="str">
        <f t="shared" si="14"/>
        <v>Cash</v>
      </c>
      <c r="K274" t="s">
        <v>18</v>
      </c>
      <c r="L274">
        <f t="shared" si="15"/>
        <v>1422</v>
      </c>
      <c r="M274" t="str">
        <f t="shared" si="16"/>
        <v>5/</v>
      </c>
    </row>
    <row r="275" spans="1:13" x14ac:dyDescent="0.3">
      <c r="A275" t="s">
        <v>285</v>
      </c>
      <c r="B275" t="s">
        <v>197</v>
      </c>
      <c r="C275" s="4" t="s">
        <v>440</v>
      </c>
      <c r="D275" t="s">
        <v>36</v>
      </c>
      <c r="E275" t="s">
        <v>23</v>
      </c>
      <c r="F275">
        <v>4</v>
      </c>
      <c r="G275">
        <v>3511</v>
      </c>
      <c r="H275" t="s">
        <v>29</v>
      </c>
      <c r="I275" t="s">
        <v>32</v>
      </c>
      <c r="J275" t="str">
        <f t="shared" si="14"/>
        <v>Net Banking</v>
      </c>
      <c r="K275" t="s">
        <v>18</v>
      </c>
      <c r="L275">
        <f t="shared" si="15"/>
        <v>14044</v>
      </c>
      <c r="M275" t="str">
        <f t="shared" si="16"/>
        <v>12</v>
      </c>
    </row>
    <row r="276" spans="1:13" x14ac:dyDescent="0.3">
      <c r="A276" t="s">
        <v>286</v>
      </c>
      <c r="B276" t="s">
        <v>146</v>
      </c>
      <c r="C276" s="4" t="s">
        <v>362</v>
      </c>
      <c r="D276" t="s">
        <v>34</v>
      </c>
      <c r="E276" t="s">
        <v>11</v>
      </c>
      <c r="F276">
        <v>2</v>
      </c>
      <c r="G276">
        <v>18111</v>
      </c>
      <c r="H276" t="s">
        <v>24</v>
      </c>
      <c r="I276" t="s">
        <v>32</v>
      </c>
      <c r="J276" t="str">
        <f t="shared" si="14"/>
        <v>Net Banking</v>
      </c>
      <c r="K276" t="s">
        <v>18</v>
      </c>
      <c r="L276">
        <f t="shared" si="15"/>
        <v>36222</v>
      </c>
      <c r="M276" t="str">
        <f t="shared" si="16"/>
        <v>11</v>
      </c>
    </row>
    <row r="277" spans="1:13" x14ac:dyDescent="0.3">
      <c r="A277" t="s">
        <v>287</v>
      </c>
      <c r="B277" t="s">
        <v>288</v>
      </c>
      <c r="C277" s="4" t="s">
        <v>408</v>
      </c>
      <c r="D277" t="s">
        <v>28</v>
      </c>
      <c r="E277" t="s">
        <v>23</v>
      </c>
      <c r="F277">
        <v>2</v>
      </c>
      <c r="G277">
        <v>1811</v>
      </c>
      <c r="H277" t="s">
        <v>35</v>
      </c>
      <c r="I277" t="s">
        <v>32</v>
      </c>
      <c r="J277" t="str">
        <f t="shared" si="14"/>
        <v>Net Banking</v>
      </c>
      <c r="K277" t="s">
        <v>21</v>
      </c>
      <c r="L277">
        <f t="shared" si="15"/>
        <v>3622</v>
      </c>
      <c r="M277" t="str">
        <f t="shared" si="16"/>
        <v>16</v>
      </c>
    </row>
    <row r="278" spans="1:13" x14ac:dyDescent="0.3">
      <c r="A278" t="s">
        <v>289</v>
      </c>
      <c r="B278" t="s">
        <v>138</v>
      </c>
      <c r="C278" s="4" t="s">
        <v>373</v>
      </c>
      <c r="D278" t="s">
        <v>34</v>
      </c>
      <c r="E278" t="s">
        <v>11</v>
      </c>
      <c r="F278" t="s">
        <v>41</v>
      </c>
      <c r="G278">
        <v>12111</v>
      </c>
      <c r="H278" t="s">
        <v>17</v>
      </c>
      <c r="I278" t="s">
        <v>27</v>
      </c>
      <c r="J278" t="str">
        <f t="shared" si="14"/>
        <v>Debit Card</v>
      </c>
      <c r="K278" t="s">
        <v>21</v>
      </c>
      <c r="L278">
        <f t="shared" si="15"/>
        <v>36333</v>
      </c>
      <c r="M278" t="str">
        <f t="shared" si="16"/>
        <v>14</v>
      </c>
    </row>
    <row r="279" spans="1:13" x14ac:dyDescent="0.3">
      <c r="A279" t="s">
        <v>290</v>
      </c>
      <c r="B279" t="s">
        <v>115</v>
      </c>
      <c r="C279" s="4" t="s">
        <v>314</v>
      </c>
      <c r="D279" t="s">
        <v>22</v>
      </c>
      <c r="E279" t="s">
        <v>23</v>
      </c>
      <c r="F279">
        <v>2</v>
      </c>
      <c r="G279">
        <v>411</v>
      </c>
      <c r="H279" t="s">
        <v>67</v>
      </c>
      <c r="I279" t="s">
        <v>32</v>
      </c>
      <c r="J279" t="str">
        <f t="shared" si="14"/>
        <v>Net Banking</v>
      </c>
      <c r="K279" t="s">
        <v>18</v>
      </c>
      <c r="L279">
        <f t="shared" si="15"/>
        <v>822</v>
      </c>
      <c r="M279" t="str">
        <f t="shared" si="16"/>
        <v>11</v>
      </c>
    </row>
    <row r="280" spans="1:13" x14ac:dyDescent="0.3">
      <c r="A280" t="s">
        <v>291</v>
      </c>
      <c r="B280" t="s">
        <v>107</v>
      </c>
      <c r="C280" s="4" t="s">
        <v>431</v>
      </c>
      <c r="D280" t="s">
        <v>28</v>
      </c>
      <c r="E280" t="s">
        <v>23</v>
      </c>
      <c r="F280">
        <v>3</v>
      </c>
      <c r="G280">
        <v>1211</v>
      </c>
      <c r="H280" t="s">
        <v>35</v>
      </c>
      <c r="I280" t="s">
        <v>14</v>
      </c>
      <c r="J280" t="str">
        <f>PROPER(TRIM(I281))</f>
        <v>Upi</v>
      </c>
      <c r="K280" t="s">
        <v>21</v>
      </c>
      <c r="L280">
        <f t="shared" si="15"/>
        <v>3633</v>
      </c>
      <c r="M280" t="str">
        <f t="shared" si="16"/>
        <v>15</v>
      </c>
    </row>
    <row r="281" spans="1:13" x14ac:dyDescent="0.3">
      <c r="A281" t="s">
        <v>292</v>
      </c>
      <c r="B281" t="s">
        <v>74</v>
      </c>
      <c r="C281" s="4" t="s">
        <v>400</v>
      </c>
      <c r="D281" t="s">
        <v>26</v>
      </c>
      <c r="E281" t="s">
        <v>11</v>
      </c>
      <c r="F281">
        <v>2</v>
      </c>
      <c r="G281">
        <v>9111</v>
      </c>
      <c r="H281" t="s">
        <v>19</v>
      </c>
      <c r="I281" t="s">
        <v>20</v>
      </c>
      <c r="J281" t="str">
        <f t="shared" si="14"/>
        <v>Upi</v>
      </c>
      <c r="K281" t="s">
        <v>18</v>
      </c>
      <c r="L281">
        <f t="shared" si="15"/>
        <v>18222</v>
      </c>
      <c r="M281" t="str">
        <f t="shared" si="16"/>
        <v>19</v>
      </c>
    </row>
    <row r="282" spans="1:13" x14ac:dyDescent="0.3">
      <c r="A282" t="s">
        <v>292</v>
      </c>
      <c r="B282" t="s">
        <v>293</v>
      </c>
      <c r="C282" s="4" t="s">
        <v>443</v>
      </c>
      <c r="D282" t="s">
        <v>22</v>
      </c>
      <c r="E282" t="s">
        <v>23</v>
      </c>
      <c r="F282">
        <v>3</v>
      </c>
      <c r="G282">
        <v>711</v>
      </c>
      <c r="H282" t="s">
        <v>37</v>
      </c>
      <c r="I282" t="s">
        <v>32</v>
      </c>
      <c r="J282" t="str">
        <f t="shared" si="14"/>
        <v>Net Banking</v>
      </c>
      <c r="K282" t="s">
        <v>21</v>
      </c>
      <c r="L282">
        <f t="shared" si="15"/>
        <v>2133</v>
      </c>
      <c r="M282" t="str">
        <f t="shared" si="16"/>
        <v>13</v>
      </c>
    </row>
    <row r="283" spans="1:13" x14ac:dyDescent="0.3">
      <c r="A283" t="s">
        <v>294</v>
      </c>
      <c r="B283" t="s">
        <v>123</v>
      </c>
      <c r="C283" s="4" t="s">
        <v>366</v>
      </c>
      <c r="D283" t="s">
        <v>22</v>
      </c>
      <c r="E283" t="s">
        <v>23</v>
      </c>
      <c r="F283">
        <v>4</v>
      </c>
      <c r="G283">
        <v>411</v>
      </c>
      <c r="H283" t="s">
        <v>19</v>
      </c>
      <c r="I283" t="s">
        <v>20</v>
      </c>
      <c r="J283" t="str">
        <f t="shared" si="14"/>
        <v>Upi</v>
      </c>
      <c r="K283" t="s">
        <v>18</v>
      </c>
      <c r="L283">
        <f t="shared" si="15"/>
        <v>1644</v>
      </c>
      <c r="M283" t="str">
        <f t="shared" si="16"/>
        <v>18</v>
      </c>
    </row>
    <row r="284" spans="1:13" x14ac:dyDescent="0.3">
      <c r="A284" t="s">
        <v>295</v>
      </c>
      <c r="B284" t="s">
        <v>158</v>
      </c>
      <c r="C284" s="4" t="s">
        <v>323</v>
      </c>
      <c r="D284" t="s">
        <v>28</v>
      </c>
      <c r="E284" t="s">
        <v>23</v>
      </c>
      <c r="F284">
        <v>2</v>
      </c>
      <c r="G284">
        <v>1211</v>
      </c>
      <c r="H284" t="s">
        <v>35</v>
      </c>
      <c r="I284" t="s">
        <v>14</v>
      </c>
      <c r="J284" t="str">
        <f t="shared" si="14"/>
        <v>Credit Card</v>
      </c>
      <c r="K284" t="s">
        <v>21</v>
      </c>
      <c r="L284">
        <f t="shared" si="15"/>
        <v>2422</v>
      </c>
      <c r="M284" t="str">
        <f t="shared" si="16"/>
        <v>12</v>
      </c>
    </row>
    <row r="285" spans="1:13" x14ac:dyDescent="0.3">
      <c r="A285" t="s">
        <v>296</v>
      </c>
      <c r="B285" t="s">
        <v>109</v>
      </c>
      <c r="C285" s="4" t="s">
        <v>400</v>
      </c>
      <c r="D285" t="s">
        <v>28</v>
      </c>
      <c r="E285" t="s">
        <v>23</v>
      </c>
      <c r="F285">
        <v>1</v>
      </c>
      <c r="G285">
        <v>1211</v>
      </c>
      <c r="H285" t="s">
        <v>35</v>
      </c>
      <c r="I285" t="s">
        <v>25</v>
      </c>
      <c r="J285" t="str">
        <f t="shared" si="14"/>
        <v>Cash</v>
      </c>
      <c r="K285" t="s">
        <v>15</v>
      </c>
      <c r="L285">
        <f t="shared" si="15"/>
        <v>1211</v>
      </c>
      <c r="M285" t="str">
        <f t="shared" si="16"/>
        <v>19</v>
      </c>
    </row>
    <row r="286" spans="1:13" x14ac:dyDescent="0.3">
      <c r="A286" t="s">
        <v>297</v>
      </c>
      <c r="B286" t="s">
        <v>127</v>
      </c>
      <c r="C286" s="4" t="s">
        <v>393</v>
      </c>
      <c r="D286" t="s">
        <v>22</v>
      </c>
      <c r="E286" t="s">
        <v>23</v>
      </c>
      <c r="F286">
        <v>2</v>
      </c>
      <c r="G286">
        <v>1111</v>
      </c>
      <c r="H286" t="s">
        <v>67</v>
      </c>
      <c r="I286" t="s">
        <v>25</v>
      </c>
      <c r="J286" t="str">
        <f t="shared" si="14"/>
        <v>Cash</v>
      </c>
      <c r="K286" t="s">
        <v>15</v>
      </c>
      <c r="L286">
        <f t="shared" si="15"/>
        <v>2222</v>
      </c>
      <c r="M286" t="str">
        <f t="shared" si="16"/>
        <v>12</v>
      </c>
    </row>
    <row r="287" spans="1:13" x14ac:dyDescent="0.3">
      <c r="A287" t="s">
        <v>298</v>
      </c>
      <c r="B287" t="s">
        <v>103</v>
      </c>
      <c r="C287" s="4" t="s">
        <v>325</v>
      </c>
      <c r="D287" t="s">
        <v>28</v>
      </c>
      <c r="E287" t="s">
        <v>23</v>
      </c>
      <c r="F287">
        <v>4</v>
      </c>
      <c r="G287">
        <v>1211</v>
      </c>
      <c r="H287" t="s">
        <v>17</v>
      </c>
      <c r="I287" t="s">
        <v>27</v>
      </c>
      <c r="J287" t="str">
        <f t="shared" si="14"/>
        <v>Debit Card</v>
      </c>
      <c r="K287" t="s">
        <v>21</v>
      </c>
      <c r="L287">
        <f t="shared" si="15"/>
        <v>4844</v>
      </c>
      <c r="M287" t="str">
        <f t="shared" si="16"/>
        <v>12</v>
      </c>
    </row>
    <row r="288" spans="1:13" x14ac:dyDescent="0.3">
      <c r="A288" t="s">
        <v>299</v>
      </c>
      <c r="B288" t="s">
        <v>197</v>
      </c>
      <c r="C288" s="4" t="s">
        <v>321</v>
      </c>
      <c r="D288" t="s">
        <v>10</v>
      </c>
      <c r="E288" t="s">
        <v>11</v>
      </c>
      <c r="F288">
        <v>2</v>
      </c>
      <c r="G288">
        <v>42111</v>
      </c>
      <c r="H288" t="s">
        <v>13</v>
      </c>
      <c r="I288" t="s">
        <v>32</v>
      </c>
      <c r="J288" t="str">
        <f t="shared" si="14"/>
        <v>Net Banking</v>
      </c>
      <c r="K288" t="s">
        <v>15</v>
      </c>
      <c r="L288">
        <f t="shared" si="15"/>
        <v>84222</v>
      </c>
      <c r="M288" t="str">
        <f t="shared" si="16"/>
        <v>11</v>
      </c>
    </row>
    <row r="289" spans="1:13" x14ac:dyDescent="0.3">
      <c r="A289" t="s">
        <v>300</v>
      </c>
      <c r="B289" t="s">
        <v>76</v>
      </c>
      <c r="C289" s="4" t="s">
        <v>342</v>
      </c>
      <c r="D289" t="s">
        <v>10</v>
      </c>
      <c r="E289" t="s">
        <v>11</v>
      </c>
      <c r="F289">
        <v>1</v>
      </c>
      <c r="G289">
        <v>31111</v>
      </c>
      <c r="H289" t="s">
        <v>19</v>
      </c>
      <c r="I289" t="s">
        <v>20</v>
      </c>
      <c r="J289" t="str">
        <f t="shared" si="14"/>
        <v>Upi</v>
      </c>
      <c r="K289" t="s">
        <v>18</v>
      </c>
      <c r="L289">
        <f t="shared" si="15"/>
        <v>31111</v>
      </c>
      <c r="M289" t="str">
        <f t="shared" si="16"/>
        <v>18</v>
      </c>
    </row>
    <row r="290" spans="1:13" x14ac:dyDescent="0.3">
      <c r="A290" t="s">
        <v>301</v>
      </c>
      <c r="B290" t="s">
        <v>288</v>
      </c>
      <c r="C290" s="4" t="s">
        <v>320</v>
      </c>
      <c r="D290" t="s">
        <v>36</v>
      </c>
      <c r="E290" t="s">
        <v>23</v>
      </c>
      <c r="F290">
        <v>2</v>
      </c>
      <c r="G290">
        <v>2511</v>
      </c>
      <c r="H290" t="s">
        <v>64</v>
      </c>
      <c r="I290" t="s">
        <v>20</v>
      </c>
      <c r="J290" t="str">
        <f>PROPER(TRIM(I291))</f>
        <v>Credit Card</v>
      </c>
      <c r="K290" t="s">
        <v>15</v>
      </c>
      <c r="L290">
        <f t="shared" si="15"/>
        <v>5022</v>
      </c>
      <c r="M290" t="str">
        <f t="shared" si="16"/>
        <v>11</v>
      </c>
    </row>
    <row r="291" spans="1:13" x14ac:dyDescent="0.3">
      <c r="A291" t="s">
        <v>302</v>
      </c>
      <c r="B291" t="s">
        <v>109</v>
      </c>
      <c r="C291" s="4" t="s">
        <v>354</v>
      </c>
      <c r="D291" t="s">
        <v>16</v>
      </c>
      <c r="E291" t="s">
        <v>11</v>
      </c>
      <c r="F291">
        <v>4</v>
      </c>
      <c r="G291">
        <v>45111</v>
      </c>
      <c r="H291" t="s">
        <v>17</v>
      </c>
      <c r="I291" t="s">
        <v>14</v>
      </c>
      <c r="J291" t="str">
        <f t="shared" si="14"/>
        <v>Credit Card</v>
      </c>
      <c r="K291" t="s">
        <v>15</v>
      </c>
      <c r="L291">
        <f t="shared" si="15"/>
        <v>180444</v>
      </c>
      <c r="M291" t="str">
        <f t="shared" si="16"/>
        <v>11</v>
      </c>
    </row>
    <row r="292" spans="1:13" x14ac:dyDescent="0.3">
      <c r="A292" t="s">
        <v>302</v>
      </c>
      <c r="B292" t="s">
        <v>113</v>
      </c>
      <c r="C292" s="4" t="s">
        <v>444</v>
      </c>
      <c r="D292" t="s">
        <v>28</v>
      </c>
      <c r="E292" t="s">
        <v>23</v>
      </c>
      <c r="F292">
        <v>3</v>
      </c>
      <c r="G292">
        <v>1811</v>
      </c>
      <c r="H292" t="s">
        <v>13</v>
      </c>
      <c r="I292" t="s">
        <v>27</v>
      </c>
      <c r="J292" t="str">
        <f t="shared" si="14"/>
        <v>Debit Card</v>
      </c>
      <c r="K292" t="s">
        <v>15</v>
      </c>
      <c r="L292">
        <f t="shared" si="15"/>
        <v>5433</v>
      </c>
      <c r="M292" t="str">
        <f t="shared" si="16"/>
        <v>15</v>
      </c>
    </row>
    <row r="293" spans="1:13" x14ac:dyDescent="0.3">
      <c r="A293" t="s">
        <v>303</v>
      </c>
      <c r="B293" t="s">
        <v>131</v>
      </c>
      <c r="C293" s="4" t="s">
        <v>368</v>
      </c>
      <c r="D293" t="s">
        <v>28</v>
      </c>
      <c r="E293" t="s">
        <v>23</v>
      </c>
      <c r="F293">
        <v>4</v>
      </c>
      <c r="G293">
        <v>1811</v>
      </c>
      <c r="H293" t="s">
        <v>67</v>
      </c>
      <c r="I293" t="s">
        <v>27</v>
      </c>
      <c r="J293" t="str">
        <f t="shared" si="14"/>
        <v>Debit Card</v>
      </c>
      <c r="K293" t="s">
        <v>18</v>
      </c>
      <c r="L293">
        <f t="shared" si="15"/>
        <v>7244</v>
      </c>
      <c r="M293" t="str">
        <f t="shared" si="16"/>
        <v>11</v>
      </c>
    </row>
    <row r="294" spans="1:13" x14ac:dyDescent="0.3">
      <c r="A294" t="s">
        <v>304</v>
      </c>
      <c r="B294" t="s">
        <v>82</v>
      </c>
      <c r="C294" s="4" t="s">
        <v>432</v>
      </c>
      <c r="D294" t="s">
        <v>30</v>
      </c>
      <c r="E294" t="s">
        <v>31</v>
      </c>
      <c r="F294">
        <v>3</v>
      </c>
      <c r="G294">
        <v>6511</v>
      </c>
      <c r="H294" t="s">
        <v>19</v>
      </c>
      <c r="I294" t="s">
        <v>27</v>
      </c>
      <c r="J294" t="str">
        <f t="shared" si="14"/>
        <v>Debit Card</v>
      </c>
      <c r="K294" t="s">
        <v>18</v>
      </c>
      <c r="L294">
        <f t="shared" si="15"/>
        <v>19533</v>
      </c>
      <c r="M294" t="str">
        <f t="shared" si="16"/>
        <v>15</v>
      </c>
    </row>
    <row r="295" spans="1:13" x14ac:dyDescent="0.3">
      <c r="A295" t="s">
        <v>305</v>
      </c>
      <c r="B295" t="s">
        <v>111</v>
      </c>
      <c r="C295" s="4" t="s">
        <v>354</v>
      </c>
      <c r="D295" t="s">
        <v>36</v>
      </c>
      <c r="E295" t="s">
        <v>23</v>
      </c>
      <c r="F295" t="s">
        <v>65</v>
      </c>
      <c r="G295">
        <v>3511</v>
      </c>
      <c r="H295" t="s">
        <v>13</v>
      </c>
      <c r="I295" t="s">
        <v>27</v>
      </c>
      <c r="J295" t="str">
        <f t="shared" si="14"/>
        <v>Debit Card</v>
      </c>
      <c r="K295" t="s">
        <v>65</v>
      </c>
      <c r="L295" t="e">
        <f t="shared" si="15"/>
        <v>#VALUE!</v>
      </c>
      <c r="M295" t="str">
        <f t="shared" si="16"/>
        <v>11</v>
      </c>
    </row>
    <row r="296" spans="1:13" x14ac:dyDescent="0.3">
      <c r="A296" t="s">
        <v>306</v>
      </c>
      <c r="B296" t="s">
        <v>123</v>
      </c>
      <c r="C296" s="4" t="s">
        <v>321</v>
      </c>
      <c r="D296" t="s">
        <v>28</v>
      </c>
      <c r="E296" t="s">
        <v>23</v>
      </c>
      <c r="F296">
        <v>3</v>
      </c>
      <c r="G296">
        <v>1811</v>
      </c>
      <c r="H296" t="s">
        <v>24</v>
      </c>
      <c r="I296" t="s">
        <v>32</v>
      </c>
      <c r="J296" t="str">
        <f t="shared" si="14"/>
        <v>Net Banking</v>
      </c>
      <c r="K296" t="s">
        <v>21</v>
      </c>
      <c r="L296">
        <f t="shared" si="15"/>
        <v>5433</v>
      </c>
      <c r="M296" t="str">
        <f t="shared" si="16"/>
        <v>11</v>
      </c>
    </row>
    <row r="297" spans="1:13" x14ac:dyDescent="0.3">
      <c r="A297" t="s">
        <v>307</v>
      </c>
      <c r="B297" t="s">
        <v>109</v>
      </c>
      <c r="C297" s="4" t="s">
        <v>319</v>
      </c>
      <c r="D297" t="s">
        <v>30</v>
      </c>
      <c r="E297" t="s">
        <v>31</v>
      </c>
      <c r="F297">
        <v>2</v>
      </c>
      <c r="G297">
        <v>9111</v>
      </c>
      <c r="H297" t="s">
        <v>13</v>
      </c>
      <c r="I297" t="s">
        <v>25</v>
      </c>
      <c r="J297" t="str">
        <f t="shared" si="14"/>
        <v>Cash</v>
      </c>
      <c r="K297" t="s">
        <v>18</v>
      </c>
      <c r="L297">
        <f t="shared" si="15"/>
        <v>18222</v>
      </c>
      <c r="M297" t="str">
        <f t="shared" si="16"/>
        <v>19</v>
      </c>
    </row>
    <row r="298" spans="1:13" x14ac:dyDescent="0.3">
      <c r="A298" t="s">
        <v>308</v>
      </c>
      <c r="B298" t="s">
        <v>82</v>
      </c>
      <c r="C298" s="4" t="s">
        <v>358</v>
      </c>
      <c r="D298" t="s">
        <v>16</v>
      </c>
      <c r="E298" t="s">
        <v>11</v>
      </c>
      <c r="F298">
        <v>2</v>
      </c>
      <c r="G298">
        <v>52111</v>
      </c>
      <c r="H298" t="s">
        <v>35</v>
      </c>
      <c r="I298" t="s">
        <v>14</v>
      </c>
      <c r="J298" t="str">
        <f t="shared" si="14"/>
        <v>Credit Card</v>
      </c>
      <c r="K298" t="s">
        <v>15</v>
      </c>
      <c r="L298">
        <f t="shared" si="15"/>
        <v>104222</v>
      </c>
      <c r="M298" t="str">
        <f t="shared" si="16"/>
        <v>11</v>
      </c>
    </row>
    <row r="299" spans="1:13" x14ac:dyDescent="0.3">
      <c r="A299" t="s">
        <v>309</v>
      </c>
      <c r="B299" t="s">
        <v>74</v>
      </c>
      <c r="C299" s="4" t="s">
        <v>416</v>
      </c>
      <c r="D299" t="s">
        <v>22</v>
      </c>
      <c r="E299" t="s">
        <v>23</v>
      </c>
      <c r="F299">
        <v>3</v>
      </c>
      <c r="G299">
        <v>711</v>
      </c>
      <c r="H299" t="s">
        <v>29</v>
      </c>
      <c r="I299" t="s">
        <v>20</v>
      </c>
      <c r="J299" t="str">
        <f t="shared" si="14"/>
        <v>Upi</v>
      </c>
      <c r="K299" t="s">
        <v>21</v>
      </c>
      <c r="L299">
        <f t="shared" si="15"/>
        <v>2133</v>
      </c>
      <c r="M299" t="str">
        <f t="shared" si="16"/>
        <v>11</v>
      </c>
    </row>
    <row r="300" spans="1:13" x14ac:dyDescent="0.3">
      <c r="A300" t="s">
        <v>310</v>
      </c>
      <c r="B300" t="s">
        <v>207</v>
      </c>
      <c r="C300" s="4" t="s">
        <v>445</v>
      </c>
      <c r="D300" t="s">
        <v>22</v>
      </c>
      <c r="E300" t="s">
        <v>23</v>
      </c>
      <c r="F300">
        <v>3</v>
      </c>
      <c r="G300">
        <v>1111</v>
      </c>
      <c r="H300" t="s">
        <v>19</v>
      </c>
      <c r="I300" t="s">
        <v>38</v>
      </c>
      <c r="J300" t="str">
        <f>PROPER(TRIM(I311))</f>
        <v/>
      </c>
      <c r="K300" t="s">
        <v>18</v>
      </c>
      <c r="L300">
        <f t="shared" si="15"/>
        <v>3333</v>
      </c>
      <c r="M300" t="str">
        <f t="shared" si="16"/>
        <v>14</v>
      </c>
    </row>
    <row r="301" spans="1:13" x14ac:dyDescent="0.3">
      <c r="A301" t="s">
        <v>311</v>
      </c>
      <c r="B301" t="s">
        <v>215</v>
      </c>
      <c r="C301" s="4" t="s">
        <v>446</v>
      </c>
      <c r="D301" t="s">
        <v>30</v>
      </c>
      <c r="E301" t="s">
        <v>31</v>
      </c>
      <c r="F301">
        <v>4</v>
      </c>
      <c r="G301">
        <v>4111</v>
      </c>
      <c r="H301" t="s">
        <v>17</v>
      </c>
      <c r="I301" t="s">
        <v>27</v>
      </c>
      <c r="J301" t="str">
        <f>PROPER(TRIM(I311))</f>
        <v/>
      </c>
      <c r="K301" t="s">
        <v>21</v>
      </c>
      <c r="L301">
        <f t="shared" si="15"/>
        <v>16444</v>
      </c>
      <c r="M301" t="str">
        <f t="shared" si="16"/>
        <v>13</v>
      </c>
    </row>
    <row r="302" spans="1:13" x14ac:dyDescent="0.3">
      <c r="C302" s="4"/>
      <c r="J302" t="str">
        <f t="shared" ref="J302:J303" si="17">PROPER(TRIM(I302))</f>
        <v/>
      </c>
      <c r="L302">
        <f t="shared" si="15"/>
        <v>0</v>
      </c>
      <c r="M302" t="str">
        <f t="shared" ref="M302:M303" si="18">IFERROR(MID(C302,4,2),"")</f>
        <v/>
      </c>
    </row>
    <row r="303" spans="1:13" x14ac:dyDescent="0.3">
      <c r="C303" s="4"/>
      <c r="J303" t="str">
        <f t="shared" si="17"/>
        <v/>
      </c>
      <c r="L303">
        <f t="shared" si="15"/>
        <v>0</v>
      </c>
      <c r="M303" t="str">
        <f t="shared" si="18"/>
        <v/>
      </c>
    </row>
  </sheetData>
  <phoneticPr fontId="3" type="noConversion"/>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281C0-77E3-47FE-8679-3871D0E8D053}">
  <dimension ref="A1:B10"/>
  <sheetViews>
    <sheetView topLeftCell="A10" zoomScaleNormal="100" workbookViewId="0">
      <selection activeCell="A3" sqref="A3"/>
    </sheetView>
  </sheetViews>
  <sheetFormatPr defaultRowHeight="14.4" x14ac:dyDescent="0.3"/>
  <cols>
    <col min="1" max="1" width="24.88671875" customWidth="1"/>
    <col min="2" max="2" width="32.5546875" customWidth="1"/>
  </cols>
  <sheetData>
    <row r="1" spans="1:2" x14ac:dyDescent="0.3">
      <c r="A1" t="s">
        <v>450</v>
      </c>
      <c r="B1" t="s">
        <v>451</v>
      </c>
    </row>
    <row r="2" spans="1:2" x14ac:dyDescent="0.3">
      <c r="A2" t="s">
        <v>452</v>
      </c>
      <c r="B2" t="s">
        <v>453</v>
      </c>
    </row>
    <row r="3" spans="1:2" x14ac:dyDescent="0.3">
      <c r="A3" t="s">
        <v>454</v>
      </c>
      <c r="B3" t="s">
        <v>455</v>
      </c>
    </row>
    <row r="4" spans="1:2" x14ac:dyDescent="0.3">
      <c r="A4" t="s">
        <v>7</v>
      </c>
      <c r="B4" t="s">
        <v>456</v>
      </c>
    </row>
    <row r="5" spans="1:2" x14ac:dyDescent="0.3">
      <c r="A5" t="s">
        <v>3</v>
      </c>
      <c r="B5" t="s">
        <v>457</v>
      </c>
    </row>
    <row r="6" spans="1:2" x14ac:dyDescent="0.3">
      <c r="A6" t="s">
        <v>458</v>
      </c>
      <c r="B6" t="s">
        <v>459</v>
      </c>
    </row>
    <row r="7" spans="1:2" x14ac:dyDescent="0.3">
      <c r="A7" t="s">
        <v>5</v>
      </c>
      <c r="B7" t="s">
        <v>460</v>
      </c>
    </row>
    <row r="8" spans="1:2" x14ac:dyDescent="0.3">
      <c r="A8" t="s">
        <v>461</v>
      </c>
      <c r="B8" t="s">
        <v>462</v>
      </c>
    </row>
    <row r="9" spans="1:2" x14ac:dyDescent="0.3">
      <c r="A9" t="s">
        <v>463</v>
      </c>
      <c r="B9" t="s">
        <v>464</v>
      </c>
    </row>
    <row r="10" spans="1:2" x14ac:dyDescent="0.3">
      <c r="A10" t="s">
        <v>465</v>
      </c>
      <c r="B10" t="s">
        <v>466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4" x14ac:dyDescent="0.3"/>
  <sheetData>
    <row r="1" spans="1:2" x14ac:dyDescent="0.3">
      <c r="A1" s="1" t="s">
        <v>42</v>
      </c>
      <c r="B1" s="1" t="s">
        <v>43</v>
      </c>
    </row>
    <row r="2" spans="1:2" x14ac:dyDescent="0.3">
      <c r="A2" t="s">
        <v>44</v>
      </c>
      <c r="B2" t="s">
        <v>45</v>
      </c>
    </row>
    <row r="3" spans="1:2" x14ac:dyDescent="0.3">
      <c r="A3" t="s">
        <v>46</v>
      </c>
      <c r="B3" t="s">
        <v>47</v>
      </c>
    </row>
    <row r="4" spans="1:2" x14ac:dyDescent="0.3">
      <c r="A4" t="s">
        <v>48</v>
      </c>
      <c r="B4" t="s">
        <v>49</v>
      </c>
    </row>
    <row r="5" spans="1:2" x14ac:dyDescent="0.3">
      <c r="A5" t="s">
        <v>50</v>
      </c>
      <c r="B5" t="s">
        <v>51</v>
      </c>
    </row>
    <row r="6" spans="1:2" x14ac:dyDescent="0.3">
      <c r="A6" t="s">
        <v>52</v>
      </c>
      <c r="B6" t="s">
        <v>53</v>
      </c>
    </row>
    <row r="7" spans="1:2" x14ac:dyDescent="0.3">
      <c r="A7" t="s">
        <v>54</v>
      </c>
      <c r="B7" t="s">
        <v>55</v>
      </c>
    </row>
    <row r="8" spans="1:2" x14ac:dyDescent="0.3">
      <c r="A8" t="s">
        <v>56</v>
      </c>
      <c r="B8" t="s">
        <v>57</v>
      </c>
    </row>
    <row r="9" spans="1:2" x14ac:dyDescent="0.3">
      <c r="A9" t="s">
        <v>58</v>
      </c>
      <c r="B9" t="s">
        <v>59</v>
      </c>
    </row>
    <row r="10" spans="1:2" x14ac:dyDescent="0.3">
      <c r="A10" t="s">
        <v>60</v>
      </c>
      <c r="B10" t="s">
        <v>61</v>
      </c>
    </row>
    <row r="11" spans="1:2" x14ac:dyDescent="0.3">
      <c r="A11" t="s">
        <v>62</v>
      </c>
      <c r="B11" t="s">
        <v>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995AE-C7E3-4231-A1AC-B4E43657147F}">
  <dimension ref="A1:W112"/>
  <sheetViews>
    <sheetView workbookViewId="0">
      <selection activeCell="M102" sqref="M102"/>
    </sheetView>
  </sheetViews>
  <sheetFormatPr defaultRowHeight="14.4" x14ac:dyDescent="0.3"/>
  <cols>
    <col min="2" max="2" width="10.77734375" customWidth="1"/>
    <col min="3" max="3" width="15.6640625" bestFit="1" customWidth="1"/>
  </cols>
  <sheetData>
    <row r="1" spans="1:3" x14ac:dyDescent="0.3">
      <c r="A1" s="7" t="s">
        <v>467</v>
      </c>
      <c r="B1" s="7" t="s">
        <v>468</v>
      </c>
    </row>
    <row r="2" spans="1:3" ht="46.8" x14ac:dyDescent="0.3">
      <c r="A2" s="9" t="s">
        <v>469</v>
      </c>
      <c r="B2" s="9" t="s">
        <v>470</v>
      </c>
    </row>
    <row r="3" spans="1:3" ht="15.6" x14ac:dyDescent="0.3">
      <c r="A3" s="18" t="s">
        <v>471</v>
      </c>
      <c r="B3" s="19" t="s">
        <v>472</v>
      </c>
      <c r="C3" s="20"/>
    </row>
    <row r="4" spans="1:3" x14ac:dyDescent="0.3">
      <c r="A4" s="18" t="s">
        <v>473</v>
      </c>
      <c r="B4" s="18" t="s">
        <v>474</v>
      </c>
      <c r="C4" s="20"/>
    </row>
    <row r="5" spans="1:3" ht="28.8" x14ac:dyDescent="0.3">
      <c r="A5" s="18" t="s">
        <v>475</v>
      </c>
      <c r="B5" s="18" t="s">
        <v>476</v>
      </c>
      <c r="C5" s="23">
        <f>COUNTA('Raw Data'!A2:A301)</f>
        <v>300</v>
      </c>
    </row>
    <row r="6" spans="1:3" x14ac:dyDescent="0.3">
      <c r="A6" s="18" t="s">
        <v>477</v>
      </c>
      <c r="B6" s="18" t="s">
        <v>465</v>
      </c>
      <c r="C6" s="23">
        <f>_xlfn.AGGREGATE(9,6,'Raw Data'!L2:L301)</f>
        <v>11366007</v>
      </c>
    </row>
    <row r="7" spans="1:3" ht="43.2" x14ac:dyDescent="0.3">
      <c r="A7" s="18" t="s">
        <v>478</v>
      </c>
      <c r="B7" s="18" t="s">
        <v>479</v>
      </c>
      <c r="C7" s="23">
        <f>_xlfn.AGGREGATE(1,6,'Raw Data'!L2:L301)</f>
        <v>38013.401337792639</v>
      </c>
    </row>
    <row r="8" spans="1:3" ht="28.8" x14ac:dyDescent="0.3">
      <c r="A8" s="18" t="s">
        <v>480</v>
      </c>
      <c r="B8" s="18" t="s">
        <v>481</v>
      </c>
      <c r="C8" s="23">
        <f>AVERAGE('Raw Data'!F2:F301)</f>
        <v>2.4455782312925169</v>
      </c>
    </row>
    <row r="9" spans="1:3" ht="28.8" x14ac:dyDescent="0.3">
      <c r="A9" s="18" t="s">
        <v>482</v>
      </c>
      <c r="B9" s="18" t="s">
        <v>483</v>
      </c>
      <c r="C9" s="23">
        <f>_xlfn.AGGREGATE(4,6,'Raw Data'!L2:L301)</f>
        <v>272444</v>
      </c>
    </row>
    <row r="10" spans="1:3" x14ac:dyDescent="0.3">
      <c r="A10" s="18" t="s">
        <v>484</v>
      </c>
      <c r="B10" s="18" t="s">
        <v>485</v>
      </c>
      <c r="C10" s="23">
        <f>_xlfn.AGGREGATE(5,6,'Raw Data'!L2:L301)</f>
        <v>0</v>
      </c>
    </row>
    <row r="11" spans="1:3" ht="28.8" x14ac:dyDescent="0.3">
      <c r="A11" s="18" t="s">
        <v>486</v>
      </c>
      <c r="B11" s="18" t="s">
        <v>487</v>
      </c>
      <c r="C11" s="23">
        <f>_xlfn.AGGREGATE(12,6,'Raw Data'!L2:L301)</f>
        <v>14044</v>
      </c>
    </row>
    <row r="13" spans="1:3" ht="21" x14ac:dyDescent="0.4">
      <c r="A13" s="16" t="s">
        <v>491</v>
      </c>
    </row>
    <row r="14" spans="1:3" x14ac:dyDescent="0.3">
      <c r="A14" s="7" t="s">
        <v>467</v>
      </c>
      <c r="B14" s="7" t="s">
        <v>468</v>
      </c>
      <c r="C14" s="20"/>
    </row>
    <row r="15" spans="1:3" x14ac:dyDescent="0.3">
      <c r="A15" s="7" t="s">
        <v>488</v>
      </c>
      <c r="B15" s="7" t="s">
        <v>4</v>
      </c>
      <c r="C15" s="20"/>
    </row>
    <row r="16" spans="1:3" x14ac:dyDescent="0.3">
      <c r="A16" s="7" t="s">
        <v>489</v>
      </c>
      <c r="B16" s="7" t="s">
        <v>465</v>
      </c>
      <c r="C16" s="20"/>
    </row>
    <row r="17" spans="1:3" x14ac:dyDescent="0.3">
      <c r="A17" s="7" t="s">
        <v>571</v>
      </c>
      <c r="B17" s="20" t="s">
        <v>11</v>
      </c>
      <c r="C17" s="23" cm="1">
        <f t="array" ref="C17">SUMPRODUCT((TRIM('Raw Data'!E2:E301)="Electronics")*IFERROR('Raw Data'!L2:L301,0))</f>
        <v>10303520</v>
      </c>
    </row>
    <row r="18" spans="1:3" x14ac:dyDescent="0.3">
      <c r="A18" s="7" t="s">
        <v>572</v>
      </c>
      <c r="B18" s="20" t="s">
        <v>31</v>
      </c>
      <c r="C18" s="23" cm="1">
        <f t="array" ref="C18">SUMPRODUCT((TRIM('Raw Data'!E2:E301)="Wearables")*IFERROR('Raw Data'!L2:L301,0))</f>
        <v>642387</v>
      </c>
    </row>
    <row r="19" spans="1:3" x14ac:dyDescent="0.3">
      <c r="A19" s="7" t="s">
        <v>573</v>
      </c>
      <c r="B19" s="20" t="s">
        <v>23</v>
      </c>
      <c r="C19" s="23" cm="1">
        <f t="array" ref="C19">SUMPRODUCT((TRIM('Raw Data'!E2:E301)="Accessories")*IFERROR('Raw Data'!L2:L301,0))</f>
        <v>420100</v>
      </c>
    </row>
    <row r="20" spans="1:3" x14ac:dyDescent="0.3">
      <c r="A20" s="7" t="s">
        <v>490</v>
      </c>
      <c r="B20" s="20"/>
      <c r="C20" s="20"/>
    </row>
    <row r="22" spans="1:3" x14ac:dyDescent="0.3">
      <c r="A22" s="7" t="s">
        <v>467</v>
      </c>
      <c r="B22" s="7" t="s">
        <v>492</v>
      </c>
    </row>
    <row r="23" spans="1:3" ht="84" x14ac:dyDescent="0.3">
      <c r="A23" s="22" t="s">
        <v>493</v>
      </c>
      <c r="B23" s="22" t="s">
        <v>494</v>
      </c>
      <c r="C23" s="21"/>
    </row>
    <row r="24" spans="1:3" x14ac:dyDescent="0.3">
      <c r="A24" s="7" t="s">
        <v>495</v>
      </c>
      <c r="B24" s="7" t="s">
        <v>3</v>
      </c>
      <c r="C24" s="20"/>
    </row>
    <row r="25" spans="1:3" x14ac:dyDescent="0.3">
      <c r="A25" s="7" t="s">
        <v>496</v>
      </c>
      <c r="B25" s="7" t="s">
        <v>465</v>
      </c>
      <c r="C25" s="20"/>
    </row>
    <row r="26" spans="1:3" ht="28.8" x14ac:dyDescent="0.3">
      <c r="A26" s="7" t="s">
        <v>497</v>
      </c>
      <c r="B26" s="7" t="s">
        <v>10</v>
      </c>
      <c r="C26" s="23">
        <f>SUMIF('Raw Data'!D2:D301,"Smartphone",'Raw Data'!L2:L301)</f>
        <v>2744389</v>
      </c>
    </row>
    <row r="27" spans="1:3" x14ac:dyDescent="0.3">
      <c r="A27" s="7" t="s">
        <v>498</v>
      </c>
      <c r="B27" s="7" t="s">
        <v>16</v>
      </c>
      <c r="C27" s="23">
        <f>SUMIF('Raw Data'!D2:D301,"Laptop",'Raw Data'!L2:L301)</f>
        <v>5156878</v>
      </c>
    </row>
    <row r="28" spans="1:3" x14ac:dyDescent="0.3">
      <c r="A28" s="7" t="s">
        <v>499</v>
      </c>
      <c r="B28" s="7" t="s">
        <v>22</v>
      </c>
      <c r="C28" s="23">
        <f>SUMIF('Raw Data'!D2:D301,"Mouse",'Raw Data'!L2:L301)</f>
        <v>95297</v>
      </c>
    </row>
    <row r="29" spans="1:3" x14ac:dyDescent="0.3">
      <c r="A29" s="7" t="s">
        <v>500</v>
      </c>
      <c r="B29" s="7" t="s">
        <v>26</v>
      </c>
      <c r="C29" s="24">
        <f>SUMIF('Raw Data'!D2:D301,"Monitor",'Raw Data'!L2:L301)</f>
        <v>1062104</v>
      </c>
    </row>
    <row r="30" spans="1:3" x14ac:dyDescent="0.3">
      <c r="A30" s="7" t="s">
        <v>501</v>
      </c>
      <c r="B30" s="7" t="s">
        <v>28</v>
      </c>
      <c r="C30" s="24">
        <f>SUMIF('Raw Data'!D2:D301,"Keyboard",'Raw Data'!L2:L301)</f>
        <v>128812</v>
      </c>
    </row>
    <row r="31" spans="1:3" ht="28.8" x14ac:dyDescent="0.3">
      <c r="A31" s="7" t="s">
        <v>502</v>
      </c>
      <c r="B31" s="7" t="s">
        <v>30</v>
      </c>
      <c r="C31" s="24">
        <f>SUMIF('Raw Data'!D2:D301,"Smartwatch",'Raw Data'!L2:L301)</f>
        <v>632343</v>
      </c>
    </row>
    <row r="32" spans="1:3" x14ac:dyDescent="0.3">
      <c r="A32" s="7" t="s">
        <v>503</v>
      </c>
      <c r="B32" s="7" t="s">
        <v>34</v>
      </c>
      <c r="C32" s="24">
        <f>SUMIF('Raw Data'!D2:D301,"Tablet",'Raw Data'!L2:L301)</f>
        <v>1313215</v>
      </c>
    </row>
    <row r="33" spans="1:4" ht="28.8" x14ac:dyDescent="0.3">
      <c r="A33" s="7" t="s">
        <v>504</v>
      </c>
      <c r="B33" s="7" t="s">
        <v>36</v>
      </c>
      <c r="C33" s="24" cm="1">
        <f t="array" ref="C33">SUMPRODUCT(--('Raw Data'!D2:D301="Headphones"),IFERROR('Raw Data'!L2:L301,0))</f>
        <v>187636</v>
      </c>
    </row>
    <row r="35" spans="1:4" x14ac:dyDescent="0.3">
      <c r="A35" s="7" t="s">
        <v>467</v>
      </c>
      <c r="B35" s="7" t="s">
        <v>492</v>
      </c>
    </row>
    <row r="36" spans="1:4" ht="84" x14ac:dyDescent="0.3">
      <c r="A36" s="10" t="s">
        <v>505</v>
      </c>
      <c r="B36" s="15" t="s">
        <v>506</v>
      </c>
    </row>
    <row r="37" spans="1:4" x14ac:dyDescent="0.3">
      <c r="A37" s="7" t="s">
        <v>507</v>
      </c>
      <c r="B37" s="7" t="s">
        <v>508</v>
      </c>
      <c r="C37" s="20"/>
    </row>
    <row r="38" spans="1:4" ht="28.8" x14ac:dyDescent="0.3">
      <c r="A38" s="7" t="s">
        <v>509</v>
      </c>
      <c r="B38" s="7" t="s">
        <v>510</v>
      </c>
      <c r="C38" s="20"/>
    </row>
    <row r="39" spans="1:4" x14ac:dyDescent="0.3">
      <c r="A39" s="7" t="s">
        <v>511</v>
      </c>
      <c r="B39" s="7" t="s">
        <v>15</v>
      </c>
      <c r="C39" s="20">
        <f>COUNTIF('Raw Data'!K2:K301,"Completed")</f>
        <v>91</v>
      </c>
    </row>
    <row r="40" spans="1:4" x14ac:dyDescent="0.3">
      <c r="A40" s="7" t="s">
        <v>512</v>
      </c>
      <c r="B40" s="7" t="s">
        <v>18</v>
      </c>
      <c r="C40" s="20">
        <f>COUNTIF('Raw Data'!K2:K301,"Pending")</f>
        <v>101</v>
      </c>
    </row>
    <row r="41" spans="1:4" x14ac:dyDescent="0.3">
      <c r="A41" s="7" t="s">
        <v>513</v>
      </c>
      <c r="B41" s="7" t="s">
        <v>21</v>
      </c>
      <c r="C41" s="20">
        <f>COUNTIF('Raw Data'!K2:K301,"Cancelled")</f>
        <v>103</v>
      </c>
    </row>
    <row r="42" spans="1:4" x14ac:dyDescent="0.3">
      <c r="A42" s="7" t="s">
        <v>514</v>
      </c>
      <c r="B42" s="7" t="s">
        <v>515</v>
      </c>
      <c r="C42" s="20">
        <f>COUNTIF('Raw Data'!K2:K301,"unknown")</f>
        <v>5</v>
      </c>
    </row>
    <row r="43" spans="1:4" x14ac:dyDescent="0.3">
      <c r="A43" s="20"/>
      <c r="B43" s="7" t="s">
        <v>516</v>
      </c>
      <c r="C43" s="20">
        <v>300</v>
      </c>
    </row>
    <row r="44" spans="1:4" x14ac:dyDescent="0.3">
      <c r="A44" s="20"/>
      <c r="B44" s="20"/>
      <c r="C44" s="20"/>
    </row>
    <row r="45" spans="1:4" ht="84" x14ac:dyDescent="0.3">
      <c r="A45" s="10" t="s">
        <v>517</v>
      </c>
      <c r="B45" s="14" t="s">
        <v>518</v>
      </c>
    </row>
    <row r="46" spans="1:4" x14ac:dyDescent="0.3">
      <c r="A46" s="8"/>
    </row>
    <row r="47" spans="1:4" x14ac:dyDescent="0.3">
      <c r="A47" s="7" t="s">
        <v>519</v>
      </c>
      <c r="B47" s="7" t="s">
        <v>7</v>
      </c>
      <c r="C47" s="20"/>
      <c r="D47" s="20"/>
    </row>
    <row r="48" spans="1:4" x14ac:dyDescent="0.3">
      <c r="A48" s="20" t="s">
        <v>520</v>
      </c>
      <c r="B48" s="20" t="s">
        <v>521</v>
      </c>
      <c r="C48" s="20"/>
      <c r="D48" s="20"/>
    </row>
    <row r="49" spans="1:4" x14ac:dyDescent="0.3">
      <c r="A49" s="17" t="s">
        <v>522</v>
      </c>
      <c r="B49" s="17"/>
      <c r="C49" s="25" cm="1">
        <f t="array" ref="C49">SUMPRODUCT(--(TRIM('Raw Data'!H2:H301)="Delhi"),IFERROR('Raw Data'!L2:L301,0))</f>
        <v>1015214</v>
      </c>
      <c r="D49" s="20"/>
    </row>
    <row r="50" spans="1:4" x14ac:dyDescent="0.3">
      <c r="A50" s="17" t="s">
        <v>523</v>
      </c>
      <c r="B50" s="17"/>
      <c r="C50" s="25" cm="1">
        <f t="array" ref="C50">SUMPRODUCT(--(TRIM('Raw Data'!H2:H301)="Mumbai"),IFERROR('Raw Data'!L2:L301,0))</f>
        <v>2093176</v>
      </c>
      <c r="D50" s="20"/>
    </row>
    <row r="51" spans="1:4" x14ac:dyDescent="0.3">
      <c r="A51" s="17" t="s">
        <v>524</v>
      </c>
      <c r="B51" s="17"/>
      <c r="C51" s="25" cm="1">
        <f t="array" ref="C51">SUMPRODUCT(--(TRIM('Raw Data'!H3:H302)="Mumbai"),IFERROR('Raw Data'!L3:L302,0))</f>
        <v>2093176</v>
      </c>
      <c r="D51" s="20"/>
    </row>
    <row r="52" spans="1:4" x14ac:dyDescent="0.3">
      <c r="A52" s="17" t="s">
        <v>525</v>
      </c>
      <c r="B52" s="17"/>
      <c r="C52" s="25" cm="1">
        <f t="array" ref="C52">SUMPRODUCT(--(TRIM('Raw Data'!H4:H303)="Mumbai"),IFERROR('Raw Data'!L4:L303,0))</f>
        <v>1956954</v>
      </c>
      <c r="D52" s="20"/>
    </row>
    <row r="53" spans="1:4" x14ac:dyDescent="0.3">
      <c r="A53" s="17" t="s">
        <v>526</v>
      </c>
      <c r="B53" s="17"/>
      <c r="C53" s="25" cm="1">
        <f t="array" ref="C53">SUMPRODUCT(--(TRIM('Raw Data'!H5:H304)="Mumbai"),IFERROR('Raw Data'!L5:L304,0))</f>
        <v>1956954</v>
      </c>
      <c r="D53" s="20"/>
    </row>
    <row r="54" spans="1:4" x14ac:dyDescent="0.3">
      <c r="A54" s="17" t="s">
        <v>527</v>
      </c>
      <c r="B54" s="17"/>
      <c r="C54" s="25" cm="1">
        <f t="array" ref="C54">SUMPRODUCT(--(TRIM('Raw Data'!H6:H305)="Mumbai"),IFERROR('Raw Data'!L6:L305,0))</f>
        <v>1956954</v>
      </c>
      <c r="D54" s="20"/>
    </row>
    <row r="55" spans="1:4" x14ac:dyDescent="0.3">
      <c r="A55" s="17" t="s">
        <v>528</v>
      </c>
      <c r="B55" s="17"/>
      <c r="C55" s="25" cm="1">
        <f t="array" ref="C55">SUMPRODUCT(--(TRIM('Raw Data'!H7:H306)="Mumbai"),IFERROR('Raw Data'!L7:L306,0))</f>
        <v>1956954</v>
      </c>
      <c r="D55" s="20"/>
    </row>
    <row r="56" spans="1:4" x14ac:dyDescent="0.3">
      <c r="A56" s="17" t="s">
        <v>529</v>
      </c>
      <c r="B56" s="17"/>
      <c r="C56" s="25" cm="1">
        <f t="array" ref="C56">SUMPRODUCT(--(TRIM('Raw Data'!H8:H307)="Mumbai"),IFERROR('Raw Data'!L8:L307,0))</f>
        <v>1956954</v>
      </c>
      <c r="D56" s="20"/>
    </row>
    <row r="57" spans="1:4" x14ac:dyDescent="0.3">
      <c r="A57" s="20"/>
      <c r="B57" s="20"/>
      <c r="C57" s="20"/>
      <c r="D57" s="20"/>
    </row>
    <row r="58" spans="1:4" ht="21" x14ac:dyDescent="0.4">
      <c r="A58" s="11" t="s">
        <v>530</v>
      </c>
    </row>
    <row r="60" spans="1:4" x14ac:dyDescent="0.3">
      <c r="A60" s="17" t="s">
        <v>531</v>
      </c>
      <c r="B60" s="17"/>
      <c r="C60" s="17"/>
    </row>
    <row r="61" spans="1:4" x14ac:dyDescent="0.3">
      <c r="A61" s="17" t="s">
        <v>532</v>
      </c>
      <c r="B61" s="17"/>
      <c r="C61" s="17"/>
    </row>
    <row r="62" spans="1:4" x14ac:dyDescent="0.3">
      <c r="A62" s="17" t="s">
        <v>533</v>
      </c>
      <c r="B62" s="17"/>
      <c r="C62" s="17" cm="1">
        <f t="array" ref="C62">SUMPRODUCT(--(UPPER(TRIM('Raw Data'!I2:I301))="CREDIT CARD"))</f>
        <v>58</v>
      </c>
    </row>
    <row r="63" spans="1:4" x14ac:dyDescent="0.3">
      <c r="A63" s="17" t="s">
        <v>534</v>
      </c>
      <c r="B63" s="17"/>
      <c r="C63" s="17" cm="1">
        <f t="array" ref="C63">SUMPRODUCT(--(UPPER(TRIM('Raw Data'!I3:I302))="CREDIT CARD"))</f>
        <v>57</v>
      </c>
    </row>
    <row r="64" spans="1:4" x14ac:dyDescent="0.3">
      <c r="A64" s="17" t="s">
        <v>535</v>
      </c>
      <c r="B64" s="17"/>
      <c r="C64" s="17">
        <v>51</v>
      </c>
    </row>
    <row r="65" spans="1:3" x14ac:dyDescent="0.3">
      <c r="A65" s="17" t="s">
        <v>536</v>
      </c>
      <c r="B65" s="17"/>
      <c r="C65" s="17">
        <v>65</v>
      </c>
    </row>
    <row r="66" spans="1:3" x14ac:dyDescent="0.3">
      <c r="A66" s="17" t="s">
        <v>537</v>
      </c>
      <c r="B66" s="17"/>
      <c r="C66" s="17">
        <v>63</v>
      </c>
    </row>
    <row r="67" spans="1:3" x14ac:dyDescent="0.3">
      <c r="A67" s="17" t="s">
        <v>538</v>
      </c>
      <c r="B67" s="17"/>
      <c r="C67" s="17">
        <v>6</v>
      </c>
    </row>
    <row r="68" spans="1:3" x14ac:dyDescent="0.3">
      <c r="A68" s="17" t="s">
        <v>539</v>
      </c>
      <c r="B68" s="17"/>
      <c r="C68" s="17">
        <v>300</v>
      </c>
    </row>
    <row r="70" spans="1:3" ht="21" x14ac:dyDescent="0.4">
      <c r="A70" s="13" t="s">
        <v>540</v>
      </c>
    </row>
    <row r="72" spans="1:3" x14ac:dyDescent="0.3">
      <c r="A72" s="20" t="s">
        <v>541</v>
      </c>
      <c r="B72" s="20" t="s">
        <v>465</v>
      </c>
    </row>
    <row r="73" spans="1:3" x14ac:dyDescent="0.3">
      <c r="A73" s="7" t="s">
        <v>541</v>
      </c>
      <c r="B73" s="29" t="s">
        <v>465</v>
      </c>
    </row>
    <row r="74" spans="1:3" x14ac:dyDescent="0.3">
      <c r="A74" s="7" t="s">
        <v>542</v>
      </c>
      <c r="B74" s="30">
        <v>850000</v>
      </c>
    </row>
    <row r="75" spans="1:3" x14ac:dyDescent="0.3">
      <c r="A75" s="7" t="s">
        <v>543</v>
      </c>
      <c r="B75" s="30">
        <v>920000</v>
      </c>
    </row>
    <row r="76" spans="1:3" x14ac:dyDescent="0.3">
      <c r="A76" s="7" t="s">
        <v>544</v>
      </c>
      <c r="B76" s="30">
        <v>780000</v>
      </c>
    </row>
    <row r="77" spans="1:3" x14ac:dyDescent="0.3">
      <c r="A77" s="7" t="s">
        <v>545</v>
      </c>
      <c r="B77" s="30">
        <v>875000</v>
      </c>
    </row>
    <row r="78" spans="1:3" x14ac:dyDescent="0.3">
      <c r="A78" s="7" t="s">
        <v>546</v>
      </c>
      <c r="B78" s="30">
        <v>940000</v>
      </c>
    </row>
    <row r="79" spans="1:3" x14ac:dyDescent="0.3">
      <c r="A79" s="7" t="s">
        <v>547</v>
      </c>
      <c r="B79" s="30">
        <v>810000</v>
      </c>
    </row>
    <row r="80" spans="1:3" x14ac:dyDescent="0.3">
      <c r="A80" s="7" t="s">
        <v>548</v>
      </c>
      <c r="B80" s="30">
        <v>895000</v>
      </c>
    </row>
    <row r="81" spans="1:3" x14ac:dyDescent="0.3">
      <c r="A81" s="7" t="s">
        <v>549</v>
      </c>
      <c r="B81" s="30">
        <v>970000</v>
      </c>
    </row>
    <row r="82" spans="1:3" ht="28.8" x14ac:dyDescent="0.3">
      <c r="A82" s="7" t="s">
        <v>550</v>
      </c>
      <c r="B82" s="30">
        <v>1020000</v>
      </c>
    </row>
    <row r="83" spans="1:3" x14ac:dyDescent="0.3">
      <c r="A83" s="7" t="s">
        <v>551</v>
      </c>
      <c r="B83" s="30">
        <v>930000</v>
      </c>
    </row>
    <row r="84" spans="1:3" ht="28.8" x14ac:dyDescent="0.3">
      <c r="A84" s="7" t="s">
        <v>552</v>
      </c>
      <c r="B84" s="30">
        <v>1080000</v>
      </c>
    </row>
    <row r="85" spans="1:3" ht="28.8" x14ac:dyDescent="0.3">
      <c r="A85" s="7" t="s">
        <v>553</v>
      </c>
      <c r="B85" s="30">
        <v>1296007</v>
      </c>
    </row>
    <row r="86" spans="1:3" ht="21" x14ac:dyDescent="0.4">
      <c r="A86" s="12" t="s">
        <v>555</v>
      </c>
    </row>
    <row r="87" spans="1:3" x14ac:dyDescent="0.3">
      <c r="A87" s="20" t="s">
        <v>556</v>
      </c>
      <c r="B87" s="20" t="s">
        <v>557</v>
      </c>
      <c r="C87" s="20"/>
    </row>
    <row r="88" spans="1:3" x14ac:dyDescent="0.3">
      <c r="A88" s="20" t="s">
        <v>558</v>
      </c>
      <c r="B88" s="20">
        <v>3</v>
      </c>
      <c r="C88" s="20"/>
    </row>
    <row r="89" spans="1:3" x14ac:dyDescent="0.3">
      <c r="A89" s="20" t="s">
        <v>559</v>
      </c>
      <c r="B89" s="20">
        <v>6</v>
      </c>
      <c r="C89" s="20"/>
    </row>
    <row r="90" spans="1:3" x14ac:dyDescent="0.3">
      <c r="A90" s="20" t="s">
        <v>560</v>
      </c>
      <c r="B90" s="20">
        <v>2</v>
      </c>
      <c r="C90" s="20"/>
    </row>
    <row r="91" spans="1:3" x14ac:dyDescent="0.3">
      <c r="A91" s="20" t="s">
        <v>561</v>
      </c>
      <c r="B91" s="20">
        <v>5</v>
      </c>
      <c r="C91" s="20"/>
    </row>
    <row r="92" spans="1:3" x14ac:dyDescent="0.3">
      <c r="A92" s="20" t="s">
        <v>562</v>
      </c>
      <c r="B92" s="20" t="s">
        <v>563</v>
      </c>
      <c r="C92" s="20"/>
    </row>
    <row r="93" spans="1:3" x14ac:dyDescent="0.3">
      <c r="A93" s="20" t="s">
        <v>564</v>
      </c>
      <c r="B93" s="20">
        <v>3</v>
      </c>
      <c r="C93" s="20"/>
    </row>
    <row r="96" spans="1:3" ht="21" x14ac:dyDescent="0.4">
      <c r="A96" s="11" t="s">
        <v>565</v>
      </c>
    </row>
    <row r="97" spans="1:23" x14ac:dyDescent="0.3">
      <c r="A97" s="17" t="s">
        <v>472</v>
      </c>
      <c r="B97" s="17" t="s">
        <v>474</v>
      </c>
      <c r="C97" s="17"/>
    </row>
    <row r="98" spans="1:23" x14ac:dyDescent="0.3">
      <c r="A98" s="17" t="s">
        <v>566</v>
      </c>
      <c r="B98" s="17"/>
      <c r="C98" s="17" cm="1">
        <f t="array" ref="C98">_xlfn.QUARTILE.INC(IFERROR('Raw Data'!L2:L301,0),1)</f>
        <v>3333</v>
      </c>
    </row>
    <row r="99" spans="1:23" x14ac:dyDescent="0.3">
      <c r="A99" s="17" t="s">
        <v>567</v>
      </c>
      <c r="B99" s="17"/>
      <c r="C99" s="17" cm="1">
        <f t="array" ref="C99">_xlfn.QUARTILE.INC(IFERROR('Raw Data'!L2:L301,0),3)</f>
        <v>50694.25</v>
      </c>
    </row>
    <row r="100" spans="1:23" x14ac:dyDescent="0.3">
      <c r="A100" s="17" t="s">
        <v>568</v>
      </c>
      <c r="B100" s="17"/>
      <c r="C100" s="17">
        <f>50694.25-3333</f>
        <v>47361.25</v>
      </c>
    </row>
    <row r="101" spans="1:23" x14ac:dyDescent="0.3">
      <c r="A101" s="17" t="s">
        <v>569</v>
      </c>
      <c r="B101" s="17"/>
      <c r="C101" s="17">
        <f>50694.25+(1.5*47361.25)</f>
        <v>121736.125</v>
      </c>
    </row>
    <row r="102" spans="1:23" x14ac:dyDescent="0.3">
      <c r="A102" s="17" t="s">
        <v>570</v>
      </c>
      <c r="B102" s="17"/>
      <c r="C102" s="17">
        <f>COUNTIF('Raw Data'!L2:L301,"&gt;121736.125")</f>
        <v>32</v>
      </c>
    </row>
    <row r="104" spans="1:23" ht="70.2" x14ac:dyDescent="0.45">
      <c r="A104" s="26" t="s">
        <v>574</v>
      </c>
    </row>
    <row r="105" spans="1:23" ht="18" x14ac:dyDescent="0.35">
      <c r="A105" s="27" t="s">
        <v>578</v>
      </c>
      <c r="B105" s="27"/>
      <c r="C105" s="27"/>
      <c r="D105" s="27"/>
      <c r="E105" s="27"/>
      <c r="F105" s="27"/>
      <c r="G105" s="27"/>
      <c r="H105" s="27"/>
      <c r="I105" s="27"/>
      <c r="J105" s="27"/>
      <c r="K105" s="27"/>
      <c r="L105" s="27"/>
      <c r="M105" s="27"/>
      <c r="N105" s="27"/>
      <c r="O105" s="27"/>
      <c r="P105" s="27"/>
      <c r="Q105" s="27"/>
      <c r="R105" s="27"/>
      <c r="S105" s="27"/>
      <c r="T105" s="27"/>
      <c r="U105" s="27"/>
      <c r="V105" s="27"/>
      <c r="W105" s="27"/>
    </row>
    <row r="106" spans="1:23" ht="18" x14ac:dyDescent="0.35">
      <c r="A106" s="27" t="s">
        <v>575</v>
      </c>
      <c r="B106" s="27"/>
      <c r="C106" s="27"/>
      <c r="D106" s="27"/>
      <c r="E106" s="27"/>
      <c r="F106" s="27"/>
      <c r="G106" s="27"/>
      <c r="H106" s="27"/>
      <c r="I106" s="27"/>
      <c r="J106" s="27"/>
      <c r="K106" s="27"/>
      <c r="L106" s="27"/>
      <c r="M106" s="27"/>
      <c r="N106" s="27"/>
      <c r="O106" s="27"/>
      <c r="P106" s="27"/>
      <c r="Q106" s="27"/>
      <c r="R106" s="27"/>
      <c r="S106" s="27"/>
      <c r="T106" s="27"/>
      <c r="U106" s="27"/>
      <c r="V106" s="27"/>
      <c r="W106" s="27"/>
    </row>
    <row r="107" spans="1:23" ht="18" x14ac:dyDescent="0.35">
      <c r="A107" s="27" t="s">
        <v>576</v>
      </c>
      <c r="B107" s="27"/>
      <c r="C107" s="27"/>
      <c r="D107" s="27"/>
      <c r="E107" s="27"/>
      <c r="F107" s="27"/>
      <c r="G107" s="27"/>
      <c r="H107" s="27"/>
      <c r="I107" s="27"/>
      <c r="J107" s="27"/>
      <c r="K107" s="27"/>
      <c r="L107" s="27"/>
      <c r="M107" s="27"/>
      <c r="N107" s="27"/>
      <c r="O107" s="27"/>
      <c r="P107" s="27"/>
      <c r="Q107" s="27"/>
      <c r="R107" s="27"/>
      <c r="S107" s="27"/>
      <c r="T107" s="27"/>
      <c r="U107" s="27"/>
      <c r="V107" s="27"/>
      <c r="W107" s="27"/>
    </row>
    <row r="108" spans="1:23" ht="18" x14ac:dyDescent="0.35">
      <c r="A108" s="27" t="s">
        <v>577</v>
      </c>
      <c r="B108" s="27"/>
      <c r="C108" s="27"/>
      <c r="D108" s="27"/>
      <c r="E108" s="27"/>
      <c r="F108" s="27"/>
      <c r="G108" s="27"/>
      <c r="H108" s="27"/>
      <c r="I108" s="27"/>
      <c r="J108" s="27"/>
      <c r="K108" s="27"/>
      <c r="L108" s="27"/>
      <c r="M108" s="27"/>
      <c r="N108" s="27"/>
      <c r="O108" s="27"/>
      <c r="P108" s="27"/>
      <c r="Q108" s="27"/>
      <c r="R108" s="27"/>
      <c r="S108" s="27"/>
      <c r="T108" s="27"/>
      <c r="U108" s="27"/>
      <c r="V108" s="27"/>
      <c r="W108" s="27"/>
    </row>
    <row r="109" spans="1:23" ht="18" x14ac:dyDescent="0.35">
      <c r="A109" s="27" t="s">
        <v>579</v>
      </c>
      <c r="B109" s="27"/>
      <c r="C109" s="27"/>
      <c r="D109" s="27"/>
      <c r="E109" s="27"/>
      <c r="F109" s="27"/>
      <c r="G109" s="27"/>
      <c r="H109" s="27"/>
      <c r="I109" s="27"/>
      <c r="J109" s="27"/>
      <c r="K109" s="27"/>
      <c r="L109" s="27"/>
      <c r="M109" s="27"/>
      <c r="N109" s="27"/>
      <c r="O109" s="27"/>
      <c r="P109" s="27"/>
      <c r="Q109" s="27"/>
      <c r="R109" s="27"/>
      <c r="S109" s="27"/>
      <c r="T109" s="27"/>
      <c r="U109" s="27"/>
      <c r="V109" s="27"/>
      <c r="W109" s="27"/>
    </row>
    <row r="110" spans="1:23" ht="18" x14ac:dyDescent="0.35">
      <c r="A110" s="27" t="s">
        <v>582</v>
      </c>
      <c r="B110" s="27"/>
      <c r="C110" s="27"/>
      <c r="D110" s="27"/>
      <c r="E110" s="27"/>
      <c r="F110" s="27"/>
      <c r="G110" s="27"/>
      <c r="H110" s="27"/>
      <c r="I110" s="27"/>
      <c r="J110" s="27"/>
      <c r="K110" s="27"/>
      <c r="L110" s="27"/>
      <c r="M110" s="27"/>
      <c r="N110" s="27"/>
      <c r="O110" s="27"/>
      <c r="P110" s="27"/>
      <c r="Q110" s="27"/>
      <c r="R110" s="27"/>
      <c r="S110" s="27"/>
      <c r="T110" s="27"/>
      <c r="U110" s="27"/>
      <c r="V110" s="27"/>
      <c r="W110" s="27"/>
    </row>
    <row r="111" spans="1:23" ht="23.4" x14ac:dyDescent="0.45">
      <c r="A111" s="28" t="s">
        <v>580</v>
      </c>
      <c r="B111" s="27"/>
      <c r="C111" s="27"/>
      <c r="D111" s="27"/>
      <c r="E111" s="27"/>
      <c r="F111" s="27"/>
      <c r="G111" s="27"/>
      <c r="H111" s="27"/>
      <c r="I111" s="27"/>
      <c r="J111" s="27"/>
      <c r="K111" s="27"/>
      <c r="L111" s="27"/>
      <c r="M111" s="27"/>
      <c r="N111" s="27"/>
      <c r="O111" s="27"/>
      <c r="P111" s="27"/>
      <c r="Q111" s="27"/>
      <c r="R111" s="27"/>
      <c r="S111" s="27"/>
      <c r="T111" s="27"/>
      <c r="U111" s="27"/>
      <c r="V111" s="27"/>
      <c r="W111" s="27"/>
    </row>
    <row r="112" spans="1:23" ht="18" x14ac:dyDescent="0.35">
      <c r="A112" s="27" t="s">
        <v>581</v>
      </c>
      <c r="B112" s="27"/>
      <c r="C112" s="27"/>
      <c r="D112" s="27"/>
      <c r="E112" s="27"/>
      <c r="F112" s="27"/>
      <c r="G112" s="27"/>
      <c r="H112" s="27"/>
      <c r="I112" s="27"/>
      <c r="J112" s="27"/>
      <c r="K112" s="27"/>
      <c r="L112" s="27"/>
      <c r="M112" s="27"/>
      <c r="N112" s="27"/>
      <c r="O112" s="27"/>
      <c r="P112" s="27"/>
      <c r="Q112" s="27"/>
      <c r="R112" s="27"/>
      <c r="S112" s="27"/>
      <c r="T112" s="27"/>
      <c r="U112" s="27"/>
      <c r="V112" s="27"/>
      <c r="W112" s="27"/>
    </row>
  </sheetData>
  <phoneticPr fontId="3"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3967C-5C35-4B9C-B50F-076A4653E2D8}">
  <dimension ref="A3:C4"/>
  <sheetViews>
    <sheetView workbookViewId="0">
      <selection activeCell="C4" sqref="C4"/>
    </sheetView>
  </sheetViews>
  <sheetFormatPr defaultRowHeight="14.4" x14ac:dyDescent="0.3"/>
  <cols>
    <col min="1" max="1" width="11.44140625" bestFit="1" customWidth="1"/>
    <col min="2" max="2" width="16.44140625" bestFit="1" customWidth="1"/>
    <col min="3" max="3" width="15.6640625" bestFit="1" customWidth="1"/>
  </cols>
  <sheetData>
    <row r="3" spans="1:3" x14ac:dyDescent="0.3">
      <c r="A3" t="s">
        <v>588</v>
      </c>
      <c r="B3" t="s">
        <v>589</v>
      </c>
      <c r="C3" t="s">
        <v>590</v>
      </c>
    </row>
    <row r="4" spans="1:3" x14ac:dyDescent="0.3">
      <c r="A4" s="44">
        <v>11366007</v>
      </c>
      <c r="B4" s="44">
        <v>300</v>
      </c>
      <c r="C4" s="44">
        <v>37886.69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D198-7C4C-4F0C-A6AE-F7C6BBAA6FB4}">
  <dimension ref="B1:AC40"/>
  <sheetViews>
    <sheetView showGridLines="0" tabSelected="1" zoomScale="63" zoomScaleNormal="63" workbookViewId="0">
      <selection activeCell="AC40" sqref="AC40"/>
    </sheetView>
  </sheetViews>
  <sheetFormatPr defaultRowHeight="14.4" x14ac:dyDescent="0.3"/>
  <cols>
    <col min="2" max="2" width="17.109375" bestFit="1" customWidth="1"/>
    <col min="4" max="4" width="11.109375" bestFit="1" customWidth="1"/>
    <col min="6" max="6" width="18.44140625" bestFit="1" customWidth="1"/>
  </cols>
  <sheetData>
    <row r="1" spans="2:6" ht="33.6" x14ac:dyDescent="0.65">
      <c r="B1" s="47" t="s">
        <v>595</v>
      </c>
    </row>
    <row r="2" spans="2:6" x14ac:dyDescent="0.3">
      <c r="B2" t="s">
        <v>449</v>
      </c>
      <c r="D2" t="s">
        <v>591</v>
      </c>
      <c r="F2" t="s">
        <v>592</v>
      </c>
    </row>
    <row r="3" spans="2:6" x14ac:dyDescent="0.3">
      <c r="B3">
        <f>GETPIVOTDATA("Sum of sales",calc!$A$3)</f>
        <v>11366007</v>
      </c>
      <c r="D3">
        <f>GETPIVOTDATA("Count of Order_ID",calc!$A$3)</f>
        <v>300</v>
      </c>
      <c r="F3">
        <f>B3/D3</f>
        <v>37886.69</v>
      </c>
    </row>
    <row r="40" spans="29:29" x14ac:dyDescent="0.3">
      <c r="AC40">
        <v>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0527F-A936-4BA6-9712-3E3843592664}">
  <dimension ref="A3:B7"/>
  <sheetViews>
    <sheetView topLeftCell="A4" workbookViewId="0">
      <selection activeCell="B5" sqref="B5"/>
    </sheetView>
  </sheetViews>
  <sheetFormatPr defaultRowHeight="14.4" x14ac:dyDescent="0.3"/>
  <cols>
    <col min="1" max="1" width="12.5546875" bestFit="1" customWidth="1"/>
    <col min="2" max="2" width="11.44140625" bestFit="1" customWidth="1"/>
  </cols>
  <sheetData>
    <row r="3" spans="1:2" x14ac:dyDescent="0.3">
      <c r="A3" s="45" t="s">
        <v>593</v>
      </c>
      <c r="B3" t="s">
        <v>588</v>
      </c>
    </row>
    <row r="4" spans="1:2" x14ac:dyDescent="0.3">
      <c r="A4" s="46" t="s">
        <v>23</v>
      </c>
      <c r="B4" s="44">
        <v>420100</v>
      </c>
    </row>
    <row r="5" spans="1:2" x14ac:dyDescent="0.3">
      <c r="A5" s="46" t="s">
        <v>11</v>
      </c>
      <c r="B5" s="44">
        <v>10303520</v>
      </c>
    </row>
    <row r="6" spans="1:2" x14ac:dyDescent="0.3">
      <c r="A6" s="46" t="s">
        <v>31</v>
      </c>
      <c r="B6" s="44">
        <v>642387</v>
      </c>
    </row>
    <row r="7" spans="1:2" x14ac:dyDescent="0.3">
      <c r="A7" s="46" t="s">
        <v>594</v>
      </c>
      <c r="B7" s="44">
        <v>11366007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F390D-C33A-4A00-80FF-8DDE71791041}">
  <dimension ref="A3:B13"/>
  <sheetViews>
    <sheetView workbookViewId="0">
      <selection activeCell="B5" sqref="B5"/>
    </sheetView>
  </sheetViews>
  <sheetFormatPr defaultRowHeight="14.4" x14ac:dyDescent="0.3"/>
  <cols>
    <col min="1" max="1" width="12.5546875" bestFit="1" customWidth="1"/>
    <col min="2" max="2" width="11.44140625" bestFit="1" customWidth="1"/>
  </cols>
  <sheetData>
    <row r="3" spans="1:2" x14ac:dyDescent="0.3">
      <c r="A3" s="45" t="s">
        <v>593</v>
      </c>
      <c r="B3" t="s">
        <v>588</v>
      </c>
    </row>
    <row r="4" spans="1:2" x14ac:dyDescent="0.3">
      <c r="A4" s="46" t="s">
        <v>33</v>
      </c>
      <c r="B4" s="44">
        <v>45333</v>
      </c>
    </row>
    <row r="5" spans="1:2" x14ac:dyDescent="0.3">
      <c r="A5" s="46" t="s">
        <v>36</v>
      </c>
      <c r="B5" s="44">
        <v>187636</v>
      </c>
    </row>
    <row r="6" spans="1:2" x14ac:dyDescent="0.3">
      <c r="A6" s="46" t="s">
        <v>28</v>
      </c>
      <c r="B6" s="44">
        <v>128812</v>
      </c>
    </row>
    <row r="7" spans="1:2" x14ac:dyDescent="0.3">
      <c r="A7" s="46" t="s">
        <v>16</v>
      </c>
      <c r="B7" s="44">
        <v>5156878</v>
      </c>
    </row>
    <row r="8" spans="1:2" x14ac:dyDescent="0.3">
      <c r="A8" s="46" t="s">
        <v>26</v>
      </c>
      <c r="B8" s="44">
        <v>1062104</v>
      </c>
    </row>
    <row r="9" spans="1:2" x14ac:dyDescent="0.3">
      <c r="A9" s="46" t="s">
        <v>22</v>
      </c>
      <c r="B9" s="44">
        <v>95297</v>
      </c>
    </row>
    <row r="10" spans="1:2" x14ac:dyDescent="0.3">
      <c r="A10" s="46" t="s">
        <v>10</v>
      </c>
      <c r="B10" s="44">
        <v>2744389</v>
      </c>
    </row>
    <row r="11" spans="1:2" x14ac:dyDescent="0.3">
      <c r="A11" s="46" t="s">
        <v>30</v>
      </c>
      <c r="B11" s="44">
        <v>632343</v>
      </c>
    </row>
    <row r="12" spans="1:2" x14ac:dyDescent="0.3">
      <c r="A12" s="46" t="s">
        <v>34</v>
      </c>
      <c r="B12" s="44">
        <v>1313215</v>
      </c>
    </row>
    <row r="13" spans="1:2" x14ac:dyDescent="0.3">
      <c r="A13" s="46" t="s">
        <v>594</v>
      </c>
      <c r="B13" s="44">
        <v>11366007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7571-A42B-474E-86AF-FCAEDBA2DAFF}">
  <dimension ref="A3:B15"/>
  <sheetViews>
    <sheetView workbookViewId="0">
      <selection activeCell="B5" sqref="B5"/>
    </sheetView>
  </sheetViews>
  <sheetFormatPr defaultRowHeight="14.4" x14ac:dyDescent="0.3"/>
  <cols>
    <col min="1" max="1" width="12.5546875" bestFit="1" customWidth="1"/>
    <col min="2" max="2" width="11.44140625" bestFit="1" customWidth="1"/>
  </cols>
  <sheetData>
    <row r="3" spans="1:2" x14ac:dyDescent="0.3">
      <c r="A3" s="45" t="s">
        <v>593</v>
      </c>
      <c r="B3" t="s">
        <v>588</v>
      </c>
    </row>
    <row r="4" spans="1:2" x14ac:dyDescent="0.3">
      <c r="A4" s="46" t="s">
        <v>64</v>
      </c>
      <c r="B4" s="44">
        <v>27688</v>
      </c>
    </row>
    <row r="5" spans="1:2" x14ac:dyDescent="0.3">
      <c r="A5" s="46" t="s">
        <v>66</v>
      </c>
      <c r="B5" s="44">
        <v>161421</v>
      </c>
    </row>
    <row r="6" spans="1:2" x14ac:dyDescent="0.3">
      <c r="A6" s="46" t="s">
        <v>67</v>
      </c>
      <c r="B6" s="44">
        <v>1064570</v>
      </c>
    </row>
    <row r="7" spans="1:2" x14ac:dyDescent="0.3">
      <c r="A7" s="46" t="s">
        <v>19</v>
      </c>
      <c r="B7" s="44">
        <v>2380454</v>
      </c>
    </row>
    <row r="8" spans="1:2" x14ac:dyDescent="0.3">
      <c r="A8" s="46" t="s">
        <v>13</v>
      </c>
      <c r="B8" s="44">
        <v>1015214</v>
      </c>
    </row>
    <row r="9" spans="1:2" x14ac:dyDescent="0.3">
      <c r="A9" s="46" t="s">
        <v>35</v>
      </c>
      <c r="B9" s="44">
        <v>1591867</v>
      </c>
    </row>
    <row r="10" spans="1:2" x14ac:dyDescent="0.3">
      <c r="A10" s="46" t="s">
        <v>37</v>
      </c>
      <c r="B10" s="44">
        <v>566993</v>
      </c>
    </row>
    <row r="11" spans="1:2" x14ac:dyDescent="0.3">
      <c r="A11" s="46" t="s">
        <v>29</v>
      </c>
      <c r="B11" s="44">
        <v>1329700</v>
      </c>
    </row>
    <row r="12" spans="1:2" x14ac:dyDescent="0.3">
      <c r="A12" s="46" t="s">
        <v>17</v>
      </c>
      <c r="B12" s="44">
        <v>1931755</v>
      </c>
    </row>
    <row r="13" spans="1:2" x14ac:dyDescent="0.3">
      <c r="A13" s="46" t="s">
        <v>24</v>
      </c>
      <c r="B13" s="44">
        <v>1025391</v>
      </c>
    </row>
    <row r="14" spans="1:2" x14ac:dyDescent="0.3">
      <c r="A14" s="46" t="s">
        <v>65</v>
      </c>
      <c r="B14" s="44">
        <v>270954</v>
      </c>
    </row>
    <row r="15" spans="1:2" x14ac:dyDescent="0.3">
      <c r="A15" s="46" t="s">
        <v>594</v>
      </c>
      <c r="B15" s="44">
        <v>11366007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77A6-5223-42C2-A7FB-E3D10711EFBB}">
  <dimension ref="A3:B8"/>
  <sheetViews>
    <sheetView workbookViewId="0">
      <selection activeCell="B5" sqref="B5"/>
    </sheetView>
  </sheetViews>
  <sheetFormatPr defaultRowHeight="14.4" x14ac:dyDescent="0.3"/>
  <cols>
    <col min="1" max="1" width="12.5546875" bestFit="1" customWidth="1"/>
    <col min="2" max="2" width="16.44140625" bestFit="1" customWidth="1"/>
  </cols>
  <sheetData>
    <row r="3" spans="1:2" x14ac:dyDescent="0.3">
      <c r="A3" s="45" t="s">
        <v>593</v>
      </c>
      <c r="B3" t="s">
        <v>589</v>
      </c>
    </row>
    <row r="4" spans="1:2" x14ac:dyDescent="0.3">
      <c r="A4" s="46" t="s">
        <v>21</v>
      </c>
      <c r="B4" s="44">
        <v>103</v>
      </c>
    </row>
    <row r="5" spans="1:2" x14ac:dyDescent="0.3">
      <c r="A5" s="46" t="s">
        <v>15</v>
      </c>
      <c r="B5" s="44">
        <v>91</v>
      </c>
    </row>
    <row r="6" spans="1:2" x14ac:dyDescent="0.3">
      <c r="A6" s="46" t="s">
        <v>18</v>
      </c>
      <c r="B6" s="44">
        <v>101</v>
      </c>
    </row>
    <row r="7" spans="1:2" x14ac:dyDescent="0.3">
      <c r="A7" s="46" t="s">
        <v>65</v>
      </c>
      <c r="B7" s="44">
        <v>5</v>
      </c>
    </row>
    <row r="8" spans="1:2" x14ac:dyDescent="0.3">
      <c r="A8" s="46" t="s">
        <v>594</v>
      </c>
      <c r="B8" s="44">
        <v>300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F9530-66BF-4A28-827C-9BD25933A7E0}">
  <dimension ref="A3:B11"/>
  <sheetViews>
    <sheetView workbookViewId="0">
      <selection activeCell="B5" sqref="B5"/>
    </sheetView>
  </sheetViews>
  <sheetFormatPr defaultRowHeight="14.4" x14ac:dyDescent="0.3"/>
  <cols>
    <col min="1" max="1" width="12.5546875" bestFit="1" customWidth="1"/>
    <col min="2" max="2" width="16.44140625" bestFit="1" customWidth="1"/>
  </cols>
  <sheetData>
    <row r="3" spans="1:2" x14ac:dyDescent="0.3">
      <c r="A3" s="45" t="s">
        <v>593</v>
      </c>
      <c r="B3" t="s">
        <v>589</v>
      </c>
    </row>
    <row r="4" spans="1:2" x14ac:dyDescent="0.3">
      <c r="A4" s="46" t="s">
        <v>25</v>
      </c>
      <c r="B4" s="44">
        <v>51</v>
      </c>
    </row>
    <row r="5" spans="1:2" x14ac:dyDescent="0.3">
      <c r="A5" s="46" t="s">
        <v>14</v>
      </c>
      <c r="B5" s="44">
        <v>58</v>
      </c>
    </row>
    <row r="6" spans="1:2" x14ac:dyDescent="0.3">
      <c r="A6" s="46" t="s">
        <v>27</v>
      </c>
      <c r="B6" s="44">
        <v>65</v>
      </c>
    </row>
    <row r="7" spans="1:2" x14ac:dyDescent="0.3">
      <c r="A7" s="46" t="s">
        <v>32</v>
      </c>
      <c r="B7" s="44">
        <v>63</v>
      </c>
    </row>
    <row r="8" spans="1:2" x14ac:dyDescent="0.3">
      <c r="A8" s="46" t="s">
        <v>65</v>
      </c>
      <c r="B8" s="44">
        <v>6</v>
      </c>
    </row>
    <row r="9" spans="1:2" x14ac:dyDescent="0.3">
      <c r="A9" s="46" t="s">
        <v>20</v>
      </c>
      <c r="B9" s="44">
        <v>55</v>
      </c>
    </row>
    <row r="10" spans="1:2" x14ac:dyDescent="0.3">
      <c r="A10" s="46" t="s">
        <v>39</v>
      </c>
      <c r="B10" s="44">
        <v>2</v>
      </c>
    </row>
    <row r="11" spans="1:2" x14ac:dyDescent="0.3">
      <c r="A11" s="46" t="s">
        <v>594</v>
      </c>
      <c r="B11" s="44">
        <v>300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E9AC-4439-469D-AD61-A00DC55199D5}">
  <dimension ref="A3:B23"/>
  <sheetViews>
    <sheetView workbookViewId="0">
      <selection activeCell="B5" sqref="B5"/>
    </sheetView>
  </sheetViews>
  <sheetFormatPr defaultRowHeight="14.4" x14ac:dyDescent="0.3"/>
  <cols>
    <col min="1" max="1" width="12.5546875" bestFit="1" customWidth="1"/>
    <col min="2" max="2" width="11.44140625" bestFit="1" customWidth="1"/>
  </cols>
  <sheetData>
    <row r="3" spans="1:2" x14ac:dyDescent="0.3">
      <c r="A3" s="45" t="s">
        <v>593</v>
      </c>
      <c r="B3" t="s">
        <v>588</v>
      </c>
    </row>
    <row r="4" spans="1:2" x14ac:dyDescent="0.3">
      <c r="A4" s="46">
        <v>11</v>
      </c>
      <c r="B4" s="44">
        <v>930760</v>
      </c>
    </row>
    <row r="5" spans="1:2" x14ac:dyDescent="0.3">
      <c r="A5" s="46">
        <v>12</v>
      </c>
      <c r="B5" s="44">
        <v>306996</v>
      </c>
    </row>
    <row r="6" spans="1:2" x14ac:dyDescent="0.3">
      <c r="A6" s="46">
        <v>13</v>
      </c>
      <c r="B6" s="44">
        <v>1000073</v>
      </c>
    </row>
    <row r="7" spans="1:2" x14ac:dyDescent="0.3">
      <c r="A7" s="46">
        <v>14</v>
      </c>
      <c r="B7" s="44">
        <v>738039</v>
      </c>
    </row>
    <row r="8" spans="1:2" x14ac:dyDescent="0.3">
      <c r="A8" s="46">
        <v>15</v>
      </c>
      <c r="B8" s="44">
        <v>929350</v>
      </c>
    </row>
    <row r="9" spans="1:2" x14ac:dyDescent="0.3">
      <c r="A9" s="46">
        <v>16</v>
      </c>
      <c r="B9" s="44">
        <v>911884</v>
      </c>
    </row>
    <row r="10" spans="1:2" x14ac:dyDescent="0.3">
      <c r="A10" s="46">
        <v>17</v>
      </c>
      <c r="B10" s="44">
        <v>740350</v>
      </c>
    </row>
    <row r="11" spans="1:2" x14ac:dyDescent="0.3">
      <c r="A11" s="46">
        <v>18</v>
      </c>
      <c r="B11" s="44">
        <v>619206</v>
      </c>
    </row>
    <row r="12" spans="1:2" x14ac:dyDescent="0.3">
      <c r="A12" s="46">
        <v>19</v>
      </c>
      <c r="B12" s="44">
        <v>946594</v>
      </c>
    </row>
    <row r="13" spans="1:2" x14ac:dyDescent="0.3">
      <c r="A13" s="46">
        <v>21</v>
      </c>
      <c r="B13" s="44">
        <v>378050</v>
      </c>
    </row>
    <row r="14" spans="1:2" x14ac:dyDescent="0.3">
      <c r="A14" s="46">
        <v>22</v>
      </c>
      <c r="B14" s="44">
        <v>551575</v>
      </c>
    </row>
    <row r="15" spans="1:2" x14ac:dyDescent="0.3">
      <c r="A15" s="46">
        <v>23</v>
      </c>
      <c r="B15" s="44">
        <v>401630</v>
      </c>
    </row>
    <row r="16" spans="1:2" x14ac:dyDescent="0.3">
      <c r="A16" s="46">
        <v>24</v>
      </c>
      <c r="B16" s="44">
        <v>658107</v>
      </c>
    </row>
    <row r="17" spans="1:2" x14ac:dyDescent="0.3">
      <c r="A17" s="46">
        <v>25</v>
      </c>
      <c r="B17" s="44">
        <v>360475</v>
      </c>
    </row>
    <row r="18" spans="1:2" x14ac:dyDescent="0.3">
      <c r="A18" s="46">
        <v>26</v>
      </c>
      <c r="B18" s="44">
        <v>301586</v>
      </c>
    </row>
    <row r="19" spans="1:2" x14ac:dyDescent="0.3">
      <c r="A19" s="46">
        <v>27</v>
      </c>
      <c r="B19" s="44">
        <v>964640</v>
      </c>
    </row>
    <row r="20" spans="1:2" x14ac:dyDescent="0.3">
      <c r="A20" s="46">
        <v>28</v>
      </c>
      <c r="B20" s="44">
        <v>84575</v>
      </c>
    </row>
    <row r="21" spans="1:2" x14ac:dyDescent="0.3">
      <c r="A21" s="46">
        <v>29</v>
      </c>
      <c r="B21" s="44">
        <v>226442</v>
      </c>
    </row>
    <row r="22" spans="1:2" x14ac:dyDescent="0.3">
      <c r="A22" s="46">
        <v>31</v>
      </c>
      <c r="B22" s="44">
        <v>315675</v>
      </c>
    </row>
    <row r="23" spans="1:2" x14ac:dyDescent="0.3">
      <c r="A23" s="46" t="s">
        <v>594</v>
      </c>
      <c r="B23" s="44">
        <v>11366007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D98E1-CF3F-422E-B079-2F17EB362E6B}">
  <dimension ref="A1:N301"/>
  <sheetViews>
    <sheetView workbookViewId="0">
      <selection activeCell="F19" sqref="F19"/>
    </sheetView>
  </sheetViews>
  <sheetFormatPr defaultRowHeight="14.4" x14ac:dyDescent="0.3"/>
  <cols>
    <col min="1" max="1" width="13" bestFit="1" customWidth="1"/>
    <col min="2" max="2" width="16.33203125" bestFit="1" customWidth="1"/>
    <col min="3" max="3" width="15.109375" bestFit="1" customWidth="1"/>
    <col min="4" max="4" width="12.109375" bestFit="1" customWidth="1"/>
    <col min="5" max="5" width="13" bestFit="1" customWidth="1"/>
    <col min="6" max="6" width="12.77734375" bestFit="1" customWidth="1"/>
    <col min="7" max="7" width="14.109375" bestFit="1" customWidth="1"/>
    <col min="8" max="8" width="9.77734375" bestFit="1" customWidth="1"/>
    <col min="9" max="9" width="20.88671875" bestFit="1" customWidth="1"/>
    <col min="10" max="10" width="18.77734375" bestFit="1" customWidth="1"/>
    <col min="11" max="11" width="16.44140625" bestFit="1" customWidth="1"/>
    <col min="12" max="12" width="14.33203125" bestFit="1" customWidth="1"/>
    <col min="13" max="13" width="11.109375" bestFit="1" customWidth="1"/>
  </cols>
  <sheetData>
    <row r="1" spans="1:14" x14ac:dyDescent="0.3">
      <c r="A1" s="41" t="s">
        <v>0</v>
      </c>
      <c r="B1" s="41" t="s">
        <v>1</v>
      </c>
      <c r="C1" s="41" t="s">
        <v>2</v>
      </c>
      <c r="D1" s="41" t="s">
        <v>3</v>
      </c>
      <c r="E1" s="41" t="s">
        <v>4</v>
      </c>
      <c r="F1" s="41" t="s">
        <v>5</v>
      </c>
      <c r="G1" s="41" t="s">
        <v>6</v>
      </c>
      <c r="H1" s="41" t="s">
        <v>7</v>
      </c>
      <c r="I1" s="41" t="s">
        <v>8</v>
      </c>
      <c r="J1" s="41" t="s">
        <v>9</v>
      </c>
      <c r="K1" s="41" t="s">
        <v>583</v>
      </c>
      <c r="L1" s="41" t="s">
        <v>584</v>
      </c>
      <c r="M1" s="41" t="s">
        <v>586</v>
      </c>
      <c r="N1" s="41" t="s">
        <v>587</v>
      </c>
    </row>
    <row r="2" spans="1:14" x14ac:dyDescent="0.3">
      <c r="A2" s="31" t="s">
        <v>69</v>
      </c>
      <c r="B2" s="32" t="s">
        <v>70</v>
      </c>
      <c r="C2" s="37" t="s">
        <v>312</v>
      </c>
      <c r="D2" s="32" t="s">
        <v>10</v>
      </c>
      <c r="E2" s="32" t="s">
        <v>11</v>
      </c>
      <c r="F2" s="32" t="s">
        <v>12</v>
      </c>
      <c r="G2" s="32">
        <v>22111</v>
      </c>
      <c r="H2" s="32" t="s">
        <v>13</v>
      </c>
      <c r="I2" s="32" t="s">
        <v>14</v>
      </c>
      <c r="J2" s="32" t="s">
        <v>15</v>
      </c>
      <c r="K2" t="str">
        <f t="shared" ref="K2:K65" si="0">PROPER(TRIM(H2))</f>
        <v>Delhi</v>
      </c>
      <c r="L2" s="43" t="s">
        <v>585</v>
      </c>
      <c r="M2">
        <f t="shared" ref="M2:M65" si="1">IFERROR(F2*G2,0)</f>
        <v>22111</v>
      </c>
      <c r="N2" s="43">
        <f t="shared" ref="N2:N65" si="2">IFERROR(VALUE(LEFT(C2,2)),"")</f>
        <v>17</v>
      </c>
    </row>
    <row r="3" spans="1:14" x14ac:dyDescent="0.3">
      <c r="A3" s="33" t="s">
        <v>71</v>
      </c>
      <c r="B3" s="34" t="s">
        <v>72</v>
      </c>
      <c r="C3" s="38" t="s">
        <v>313</v>
      </c>
      <c r="D3" s="34" t="s">
        <v>16</v>
      </c>
      <c r="E3" s="34" t="s">
        <v>11</v>
      </c>
      <c r="F3" s="34">
        <v>2</v>
      </c>
      <c r="G3" s="34">
        <v>68111</v>
      </c>
      <c r="H3" s="34" t="s">
        <v>17</v>
      </c>
      <c r="I3" s="34" t="s">
        <v>14</v>
      </c>
      <c r="J3" s="34" t="s">
        <v>18</v>
      </c>
      <c r="K3" s="34" t="str">
        <f t="shared" si="0"/>
        <v>Mumbai</v>
      </c>
      <c r="L3" t="str">
        <f>IF(UPPER(TRIM(I2))="UPI","UPI",PROPER(TRIM(I2)))</f>
        <v>Credit Card</v>
      </c>
      <c r="M3" s="34">
        <f t="shared" si="1"/>
        <v>136222</v>
      </c>
      <c r="N3" s="34">
        <f t="shared" si="2"/>
        <v>24</v>
      </c>
    </row>
    <row r="4" spans="1:14" x14ac:dyDescent="0.3">
      <c r="A4" s="31" t="s">
        <v>73</v>
      </c>
      <c r="B4" s="32" t="s">
        <v>74</v>
      </c>
      <c r="C4" s="37" t="s">
        <v>314</v>
      </c>
      <c r="D4" s="32" t="s">
        <v>10</v>
      </c>
      <c r="E4" s="32" t="s">
        <v>11</v>
      </c>
      <c r="F4" s="32">
        <v>1</v>
      </c>
      <c r="G4" s="32">
        <v>15111</v>
      </c>
      <c r="H4" s="32" t="s">
        <v>19</v>
      </c>
      <c r="I4" s="32" t="s">
        <v>20</v>
      </c>
      <c r="J4" s="32" t="s">
        <v>21</v>
      </c>
      <c r="K4" s="34" t="str">
        <f t="shared" si="0"/>
        <v>Chennai</v>
      </c>
      <c r="L4" t="str">
        <f t="shared" ref="L4:L67" si="3">IF(UPPER(TRIM(I3))="UPI","UPI",PROPER(TRIM(I3)))</f>
        <v>Credit Card</v>
      </c>
      <c r="M4" s="34">
        <f t="shared" si="1"/>
        <v>15111</v>
      </c>
      <c r="N4" s="34">
        <f t="shared" si="2"/>
        <v>12</v>
      </c>
    </row>
    <row r="5" spans="1:14" x14ac:dyDescent="0.3">
      <c r="A5" s="33" t="s">
        <v>75</v>
      </c>
      <c r="B5" s="34" t="s">
        <v>76</v>
      </c>
      <c r="C5" s="38" t="s">
        <v>315</v>
      </c>
      <c r="D5" s="34" t="s">
        <v>22</v>
      </c>
      <c r="E5" s="34" t="s">
        <v>23</v>
      </c>
      <c r="F5" s="34">
        <v>3</v>
      </c>
      <c r="G5" s="34">
        <v>411</v>
      </c>
      <c r="H5" s="34" t="s">
        <v>24</v>
      </c>
      <c r="I5" s="34" t="s">
        <v>25</v>
      </c>
      <c r="J5" s="34" t="s">
        <v>21</v>
      </c>
      <c r="K5" s="34" t="str">
        <f t="shared" si="0"/>
        <v>Pune</v>
      </c>
      <c r="L5" t="str">
        <f t="shared" si="3"/>
        <v>UPI</v>
      </c>
      <c r="M5" s="34">
        <f t="shared" si="1"/>
        <v>1233</v>
      </c>
      <c r="N5" s="34">
        <f t="shared" si="2"/>
        <v>21</v>
      </c>
    </row>
    <row r="6" spans="1:14" x14ac:dyDescent="0.3">
      <c r="A6" s="31" t="s">
        <v>77</v>
      </c>
      <c r="B6" s="32" t="s">
        <v>78</v>
      </c>
      <c r="C6" s="37" t="s">
        <v>316</v>
      </c>
      <c r="D6" s="32" t="s">
        <v>26</v>
      </c>
      <c r="E6" s="32" t="s">
        <v>11</v>
      </c>
      <c r="F6" s="32">
        <v>2</v>
      </c>
      <c r="G6" s="32">
        <v>9111</v>
      </c>
      <c r="H6" s="32" t="s">
        <v>19</v>
      </c>
      <c r="I6" s="32" t="s">
        <v>27</v>
      </c>
      <c r="J6" s="32" t="s">
        <v>21</v>
      </c>
      <c r="K6" s="34" t="str">
        <f t="shared" si="0"/>
        <v>Chennai</v>
      </c>
      <c r="L6" t="str">
        <f t="shared" si="3"/>
        <v>Cash</v>
      </c>
      <c r="M6" s="34">
        <f t="shared" si="1"/>
        <v>18222</v>
      </c>
      <c r="N6" s="34">
        <f t="shared" si="2"/>
        <v>25</v>
      </c>
    </row>
    <row r="7" spans="1:14" x14ac:dyDescent="0.3">
      <c r="A7" s="33" t="s">
        <v>79</v>
      </c>
      <c r="B7" s="34" t="s">
        <v>80</v>
      </c>
      <c r="C7" s="38" t="s">
        <v>317</v>
      </c>
      <c r="D7" s="34" t="s">
        <v>28</v>
      </c>
      <c r="E7" s="34" t="s">
        <v>23</v>
      </c>
      <c r="F7" s="34">
        <v>3</v>
      </c>
      <c r="G7" s="34">
        <v>1211</v>
      </c>
      <c r="H7" s="34" t="s">
        <v>29</v>
      </c>
      <c r="I7" s="34" t="s">
        <v>14</v>
      </c>
      <c r="J7" s="34" t="s">
        <v>21</v>
      </c>
      <c r="K7" s="34" t="str">
        <f t="shared" si="0"/>
        <v>Kolkata</v>
      </c>
      <c r="L7" t="str">
        <f t="shared" si="3"/>
        <v>Debit Card</v>
      </c>
      <c r="M7" s="34">
        <f t="shared" si="1"/>
        <v>3633</v>
      </c>
      <c r="N7" s="34">
        <f t="shared" si="2"/>
        <v>18</v>
      </c>
    </row>
    <row r="8" spans="1:14" x14ac:dyDescent="0.3">
      <c r="A8" s="31" t="s">
        <v>81</v>
      </c>
      <c r="B8" s="32" t="s">
        <v>82</v>
      </c>
      <c r="C8" s="37" t="s">
        <v>318</v>
      </c>
      <c r="D8" s="32" t="s">
        <v>30</v>
      </c>
      <c r="E8" s="32" t="s">
        <v>31</v>
      </c>
      <c r="F8" s="32">
        <v>4</v>
      </c>
      <c r="G8" s="32">
        <v>9111</v>
      </c>
      <c r="H8" s="32" t="s">
        <v>17</v>
      </c>
      <c r="I8" s="32" t="s">
        <v>32</v>
      </c>
      <c r="J8" s="32" t="s">
        <v>18</v>
      </c>
      <c r="K8" s="34" t="str">
        <f t="shared" si="0"/>
        <v>Mumbai</v>
      </c>
      <c r="L8" t="str">
        <f t="shared" si="3"/>
        <v>Credit Card</v>
      </c>
      <c r="M8" s="34">
        <f t="shared" si="1"/>
        <v>36444</v>
      </c>
      <c r="N8" s="34">
        <f t="shared" si="2"/>
        <v>15</v>
      </c>
    </row>
    <row r="9" spans="1:14" x14ac:dyDescent="0.3">
      <c r="A9" s="33" t="s">
        <v>83</v>
      </c>
      <c r="B9" s="34" t="s">
        <v>78</v>
      </c>
      <c r="C9" s="38" t="s">
        <v>314</v>
      </c>
      <c r="D9" s="34" t="s">
        <v>10</v>
      </c>
      <c r="E9" s="34" t="s">
        <v>11</v>
      </c>
      <c r="F9" s="34">
        <v>1</v>
      </c>
      <c r="G9" s="34">
        <v>22111</v>
      </c>
      <c r="H9" s="34" t="s">
        <v>24</v>
      </c>
      <c r="I9" s="34" t="s">
        <v>32</v>
      </c>
      <c r="J9" s="34" t="s">
        <v>15</v>
      </c>
      <c r="K9" s="34" t="str">
        <f t="shared" si="0"/>
        <v>Pune</v>
      </c>
      <c r="L9" t="str">
        <f t="shared" si="3"/>
        <v>Net Banking</v>
      </c>
      <c r="M9" s="34">
        <f t="shared" si="1"/>
        <v>22111</v>
      </c>
      <c r="N9" s="34">
        <f t="shared" si="2"/>
        <v>12</v>
      </c>
    </row>
    <row r="10" spans="1:14" x14ac:dyDescent="0.3">
      <c r="A10" s="31" t="s">
        <v>84</v>
      </c>
      <c r="B10" s="32" t="s">
        <v>85</v>
      </c>
      <c r="C10" s="37" t="s">
        <v>319</v>
      </c>
      <c r="D10" s="32" t="s">
        <v>33</v>
      </c>
      <c r="E10" s="32" t="s">
        <v>11</v>
      </c>
      <c r="F10" s="32">
        <v>3</v>
      </c>
      <c r="G10" s="32">
        <v>15111</v>
      </c>
      <c r="H10" s="32" t="s">
        <v>17</v>
      </c>
      <c r="I10" s="32" t="s">
        <v>32</v>
      </c>
      <c r="J10" s="32" t="s">
        <v>15</v>
      </c>
      <c r="K10" s="34" t="str">
        <f t="shared" si="0"/>
        <v>Mumbai</v>
      </c>
      <c r="L10" t="str">
        <f t="shared" si="3"/>
        <v>Net Banking</v>
      </c>
      <c r="M10" s="34">
        <f t="shared" si="1"/>
        <v>45333</v>
      </c>
      <c r="N10" s="34">
        <f t="shared" si="2"/>
        <v>14</v>
      </c>
    </row>
    <row r="11" spans="1:14" x14ac:dyDescent="0.3">
      <c r="A11" s="33" t="s">
        <v>69</v>
      </c>
      <c r="B11" s="34" t="s">
        <v>86</v>
      </c>
      <c r="C11" s="38" t="s">
        <v>320</v>
      </c>
      <c r="D11" s="34" t="s">
        <v>22</v>
      </c>
      <c r="E11" s="34" t="s">
        <v>23</v>
      </c>
      <c r="F11" s="34">
        <v>2</v>
      </c>
      <c r="G11" s="34">
        <v>1111</v>
      </c>
      <c r="H11" s="34" t="s">
        <v>64</v>
      </c>
      <c r="I11" s="34" t="s">
        <v>27</v>
      </c>
      <c r="J11" s="34" t="s">
        <v>15</v>
      </c>
      <c r="K11" s="34" t="str">
        <f t="shared" si="0"/>
        <v>Jaipur</v>
      </c>
      <c r="L11" t="str">
        <f t="shared" si="3"/>
        <v>Net Banking</v>
      </c>
      <c r="M11" s="34">
        <f t="shared" si="1"/>
        <v>2222</v>
      </c>
      <c r="N11" s="34">
        <f t="shared" si="2"/>
        <v>11</v>
      </c>
    </row>
    <row r="12" spans="1:14" x14ac:dyDescent="0.3">
      <c r="A12" s="31" t="s">
        <v>69</v>
      </c>
      <c r="B12" s="32" t="s">
        <v>87</v>
      </c>
      <c r="C12" s="37" t="s">
        <v>321</v>
      </c>
      <c r="D12" s="32" t="s">
        <v>16</v>
      </c>
      <c r="E12" s="32" t="s">
        <v>11</v>
      </c>
      <c r="F12" s="32">
        <v>2</v>
      </c>
      <c r="G12" s="32">
        <v>45111</v>
      </c>
      <c r="H12" s="32" t="s">
        <v>24</v>
      </c>
      <c r="I12" s="32" t="s">
        <v>32</v>
      </c>
      <c r="J12" s="32" t="s">
        <v>21</v>
      </c>
      <c r="K12" s="34" t="str">
        <f t="shared" si="0"/>
        <v>Pune</v>
      </c>
      <c r="L12" t="str">
        <f t="shared" si="3"/>
        <v>Debit Card</v>
      </c>
      <c r="M12" s="34">
        <f t="shared" si="1"/>
        <v>90222</v>
      </c>
      <c r="N12" s="34">
        <f t="shared" si="2"/>
        <v>19</v>
      </c>
    </row>
    <row r="13" spans="1:14" x14ac:dyDescent="0.3">
      <c r="A13" s="33" t="s">
        <v>71</v>
      </c>
      <c r="B13" s="34" t="s">
        <v>88</v>
      </c>
      <c r="C13" s="38" t="s">
        <v>322</v>
      </c>
      <c r="D13" s="34" t="s">
        <v>34</v>
      </c>
      <c r="E13" s="34" t="s">
        <v>11</v>
      </c>
      <c r="F13" s="34">
        <v>2</v>
      </c>
      <c r="G13" s="34">
        <v>35111</v>
      </c>
      <c r="H13" s="34" t="s">
        <v>67</v>
      </c>
      <c r="I13" s="34" t="s">
        <v>65</v>
      </c>
      <c r="J13" s="34" t="s">
        <v>18</v>
      </c>
      <c r="K13" s="34" t="str">
        <f t="shared" si="0"/>
        <v>Bangalore</v>
      </c>
      <c r="L13" t="str">
        <f t="shared" si="3"/>
        <v>Net Banking</v>
      </c>
      <c r="M13" s="34">
        <f t="shared" si="1"/>
        <v>70222</v>
      </c>
      <c r="N13" s="34">
        <f t="shared" si="2"/>
        <v>13</v>
      </c>
    </row>
    <row r="14" spans="1:14" x14ac:dyDescent="0.3">
      <c r="A14" s="31" t="s">
        <v>73</v>
      </c>
      <c r="B14" s="32" t="s">
        <v>89</v>
      </c>
      <c r="C14" s="37" t="s">
        <v>312</v>
      </c>
      <c r="D14" s="32" t="s">
        <v>16</v>
      </c>
      <c r="E14" s="32" t="s">
        <v>11</v>
      </c>
      <c r="F14" s="32">
        <v>1</v>
      </c>
      <c r="G14" s="32">
        <v>52111</v>
      </c>
      <c r="H14" s="32" t="s">
        <v>13</v>
      </c>
      <c r="I14" s="32" t="s">
        <v>32</v>
      </c>
      <c r="J14" s="32" t="s">
        <v>15</v>
      </c>
      <c r="K14" s="34" t="str">
        <f t="shared" si="0"/>
        <v>Delhi</v>
      </c>
      <c r="L14" t="str">
        <f t="shared" si="3"/>
        <v>Unknown</v>
      </c>
      <c r="M14" s="34">
        <f t="shared" si="1"/>
        <v>52111</v>
      </c>
      <c r="N14" s="34">
        <f t="shared" si="2"/>
        <v>17</v>
      </c>
    </row>
    <row r="15" spans="1:14" x14ac:dyDescent="0.3">
      <c r="A15" s="33" t="s">
        <v>75</v>
      </c>
      <c r="B15" s="34" t="s">
        <v>90</v>
      </c>
      <c r="C15" s="38" t="s">
        <v>323</v>
      </c>
      <c r="D15" s="34" t="s">
        <v>22</v>
      </c>
      <c r="E15" s="34" t="s">
        <v>23</v>
      </c>
      <c r="F15" s="34">
        <v>4</v>
      </c>
      <c r="G15" s="34">
        <v>711</v>
      </c>
      <c r="H15" s="34" t="s">
        <v>19</v>
      </c>
      <c r="I15" s="34" t="s">
        <v>27</v>
      </c>
      <c r="J15" s="34" t="s">
        <v>18</v>
      </c>
      <c r="K15" s="34" t="str">
        <f t="shared" si="0"/>
        <v>Chennai</v>
      </c>
      <c r="L15" t="str">
        <f t="shared" si="3"/>
        <v>Net Banking</v>
      </c>
      <c r="M15" s="34">
        <f t="shared" si="1"/>
        <v>2844</v>
      </c>
      <c r="N15" s="34">
        <f t="shared" si="2"/>
        <v>19</v>
      </c>
    </row>
    <row r="16" spans="1:14" x14ac:dyDescent="0.3">
      <c r="A16" s="31" t="s">
        <v>77</v>
      </c>
      <c r="B16" s="32" t="s">
        <v>91</v>
      </c>
      <c r="C16" s="37" t="s">
        <v>324</v>
      </c>
      <c r="D16" s="32" t="s">
        <v>34</v>
      </c>
      <c r="E16" s="32" t="s">
        <v>11</v>
      </c>
      <c r="F16" s="32">
        <v>4</v>
      </c>
      <c r="G16" s="32">
        <v>12111</v>
      </c>
      <c r="H16" s="32" t="s">
        <v>35</v>
      </c>
      <c r="I16" s="32" t="s">
        <v>14</v>
      </c>
      <c r="J16" s="32" t="s">
        <v>18</v>
      </c>
      <c r="K16" s="34" t="str">
        <f t="shared" si="0"/>
        <v>Hyderabad</v>
      </c>
      <c r="L16" t="str">
        <f t="shared" si="3"/>
        <v>Debit Card</v>
      </c>
      <c r="M16" s="34">
        <f t="shared" si="1"/>
        <v>48444</v>
      </c>
      <c r="N16" s="34">
        <f t="shared" si="2"/>
        <v>19</v>
      </c>
    </row>
    <row r="17" spans="1:14" x14ac:dyDescent="0.3">
      <c r="A17" s="33" t="s">
        <v>79</v>
      </c>
      <c r="B17" s="34" t="s">
        <v>92</v>
      </c>
      <c r="C17" s="38" t="s">
        <v>325</v>
      </c>
      <c r="D17" s="34" t="s">
        <v>36</v>
      </c>
      <c r="E17" s="34" t="s">
        <v>23</v>
      </c>
      <c r="F17" s="34">
        <v>3</v>
      </c>
      <c r="G17" s="34">
        <v>1211</v>
      </c>
      <c r="H17" s="34" t="s">
        <v>67</v>
      </c>
      <c r="I17" s="34" t="s">
        <v>14</v>
      </c>
      <c r="J17" s="34" t="s">
        <v>18</v>
      </c>
      <c r="K17" s="34" t="str">
        <f t="shared" si="0"/>
        <v>Bangalore</v>
      </c>
      <c r="L17" t="str">
        <f t="shared" si="3"/>
        <v>Credit Card</v>
      </c>
      <c r="M17" s="34">
        <f t="shared" si="1"/>
        <v>3633</v>
      </c>
      <c r="N17" s="34">
        <f t="shared" si="2"/>
        <v>17</v>
      </c>
    </row>
    <row r="18" spans="1:14" x14ac:dyDescent="0.3">
      <c r="A18" s="31" t="s">
        <v>81</v>
      </c>
      <c r="B18" s="32" t="s">
        <v>93</v>
      </c>
      <c r="C18" s="37" t="s">
        <v>326</v>
      </c>
      <c r="D18" s="32" t="s">
        <v>30</v>
      </c>
      <c r="E18" s="32" t="s">
        <v>31</v>
      </c>
      <c r="F18" s="32">
        <v>4</v>
      </c>
      <c r="G18" s="32">
        <v>6511</v>
      </c>
      <c r="H18" s="32" t="s">
        <v>19</v>
      </c>
      <c r="I18" s="32" t="s">
        <v>32</v>
      </c>
      <c r="J18" s="32" t="s">
        <v>21</v>
      </c>
      <c r="K18" s="34" t="str">
        <f t="shared" si="0"/>
        <v>Chennai</v>
      </c>
      <c r="L18" t="str">
        <f t="shared" si="3"/>
        <v>Credit Card</v>
      </c>
      <c r="M18" s="34">
        <f t="shared" si="1"/>
        <v>26044</v>
      </c>
      <c r="N18" s="34">
        <f t="shared" si="2"/>
        <v>21</v>
      </c>
    </row>
    <row r="19" spans="1:14" x14ac:dyDescent="0.3">
      <c r="A19" s="33" t="s">
        <v>83</v>
      </c>
      <c r="B19" s="34" t="s">
        <v>94</v>
      </c>
      <c r="C19" s="38" t="s">
        <v>327</v>
      </c>
      <c r="D19" s="34" t="s">
        <v>30</v>
      </c>
      <c r="E19" s="34" t="s">
        <v>31</v>
      </c>
      <c r="F19" s="34">
        <v>2</v>
      </c>
      <c r="G19" s="34">
        <v>2511</v>
      </c>
      <c r="H19" s="34" t="s">
        <v>35</v>
      </c>
      <c r="I19" s="34" t="s">
        <v>32</v>
      </c>
      <c r="J19" s="34" t="s">
        <v>21</v>
      </c>
      <c r="K19" s="34" t="str">
        <f t="shared" si="0"/>
        <v>Hyderabad</v>
      </c>
      <c r="L19" t="str">
        <f t="shared" si="3"/>
        <v>Net Banking</v>
      </c>
      <c r="M19" s="34">
        <f t="shared" si="1"/>
        <v>5022</v>
      </c>
      <c r="N19" s="34">
        <f t="shared" si="2"/>
        <v>26</v>
      </c>
    </row>
    <row r="20" spans="1:14" x14ac:dyDescent="0.3">
      <c r="A20" s="31" t="s">
        <v>84</v>
      </c>
      <c r="B20" s="32" t="s">
        <v>88</v>
      </c>
      <c r="C20" s="37" t="s">
        <v>321</v>
      </c>
      <c r="D20" s="32" t="s">
        <v>36</v>
      </c>
      <c r="E20" s="32" t="s">
        <v>23</v>
      </c>
      <c r="F20" s="32">
        <v>1</v>
      </c>
      <c r="G20" s="32">
        <v>1211</v>
      </c>
      <c r="H20" s="32" t="s">
        <v>37</v>
      </c>
      <c r="I20" s="32" t="s">
        <v>32</v>
      </c>
      <c r="J20" s="32" t="s">
        <v>15</v>
      </c>
      <c r="K20" s="34" t="str">
        <f t="shared" si="0"/>
        <v>Jaipur</v>
      </c>
      <c r="L20" t="str">
        <f t="shared" si="3"/>
        <v>Net Banking</v>
      </c>
      <c r="M20" s="34">
        <f t="shared" si="1"/>
        <v>1211</v>
      </c>
      <c r="N20" s="34">
        <f t="shared" si="2"/>
        <v>19</v>
      </c>
    </row>
    <row r="21" spans="1:14" x14ac:dyDescent="0.3">
      <c r="A21" s="33" t="s">
        <v>95</v>
      </c>
      <c r="B21" s="34" t="s">
        <v>96</v>
      </c>
      <c r="C21" s="38" t="s">
        <v>447</v>
      </c>
      <c r="D21" s="34" t="s">
        <v>34</v>
      </c>
      <c r="E21" s="34" t="s">
        <v>11</v>
      </c>
      <c r="F21" s="34">
        <v>3</v>
      </c>
      <c r="G21" s="34">
        <v>18111</v>
      </c>
      <c r="H21" s="34" t="s">
        <v>13</v>
      </c>
      <c r="I21" s="34" t="s">
        <v>20</v>
      </c>
      <c r="J21" s="34" t="s">
        <v>18</v>
      </c>
      <c r="K21" s="34" t="str">
        <f t="shared" si="0"/>
        <v>Delhi</v>
      </c>
      <c r="L21" t="str">
        <f t="shared" si="3"/>
        <v>Net Banking</v>
      </c>
      <c r="M21" s="34">
        <f t="shared" si="1"/>
        <v>54333</v>
      </c>
      <c r="N21" s="34">
        <f t="shared" si="2"/>
        <v>18</v>
      </c>
    </row>
    <row r="22" spans="1:14" x14ac:dyDescent="0.3">
      <c r="A22" s="31" t="s">
        <v>95</v>
      </c>
      <c r="B22" s="32" t="s">
        <v>97</v>
      </c>
      <c r="C22" s="37" t="s">
        <v>328</v>
      </c>
      <c r="D22" s="32" t="s">
        <v>10</v>
      </c>
      <c r="E22" s="32" t="s">
        <v>11</v>
      </c>
      <c r="F22" s="32">
        <v>1</v>
      </c>
      <c r="G22" s="32">
        <v>31111</v>
      </c>
      <c r="H22" s="32" t="s">
        <v>24</v>
      </c>
      <c r="I22" s="32" t="s">
        <v>32</v>
      </c>
      <c r="J22" s="32" t="s">
        <v>65</v>
      </c>
      <c r="K22" s="34" t="str">
        <f t="shared" si="0"/>
        <v>Pune</v>
      </c>
      <c r="L22" t="str">
        <f t="shared" si="3"/>
        <v>UPI</v>
      </c>
      <c r="M22" s="34">
        <f t="shared" si="1"/>
        <v>31111</v>
      </c>
      <c r="N22" s="34">
        <f t="shared" si="2"/>
        <v>22</v>
      </c>
    </row>
    <row r="23" spans="1:14" x14ac:dyDescent="0.3">
      <c r="A23" s="33" t="s">
        <v>98</v>
      </c>
      <c r="B23" s="34" t="s">
        <v>99</v>
      </c>
      <c r="C23" s="38" t="s">
        <v>329</v>
      </c>
      <c r="D23" s="34" t="s">
        <v>16</v>
      </c>
      <c r="E23" s="34" t="s">
        <v>11</v>
      </c>
      <c r="F23" s="34">
        <v>3</v>
      </c>
      <c r="G23" s="34">
        <v>45111</v>
      </c>
      <c r="H23" s="34" t="s">
        <v>29</v>
      </c>
      <c r="I23" s="34" t="s">
        <v>14</v>
      </c>
      <c r="J23" s="34" t="s">
        <v>21</v>
      </c>
      <c r="K23" s="34" t="str">
        <f t="shared" si="0"/>
        <v>Kolkata</v>
      </c>
      <c r="L23" t="str">
        <f t="shared" si="3"/>
        <v>Net Banking</v>
      </c>
      <c r="M23" s="34">
        <f t="shared" si="1"/>
        <v>135333</v>
      </c>
      <c r="N23" s="34">
        <f t="shared" si="2"/>
        <v>16</v>
      </c>
    </row>
    <row r="24" spans="1:14" x14ac:dyDescent="0.3">
      <c r="A24" s="31" t="s">
        <v>100</v>
      </c>
      <c r="B24" s="32" t="s">
        <v>101</v>
      </c>
      <c r="C24" s="37" t="s">
        <v>330</v>
      </c>
      <c r="D24" s="32" t="s">
        <v>22</v>
      </c>
      <c r="E24" s="32" t="s">
        <v>23</v>
      </c>
      <c r="F24" s="32">
        <v>4</v>
      </c>
      <c r="G24" s="39">
        <v>711</v>
      </c>
      <c r="H24" s="32" t="s">
        <v>17</v>
      </c>
      <c r="I24" s="32" t="s">
        <v>65</v>
      </c>
      <c r="J24" s="32" t="s">
        <v>15</v>
      </c>
      <c r="K24" s="34" t="str">
        <f t="shared" si="0"/>
        <v>Mumbai</v>
      </c>
      <c r="L24" t="str">
        <f t="shared" si="3"/>
        <v>Credit Card</v>
      </c>
      <c r="M24" s="34">
        <f t="shared" si="1"/>
        <v>2844</v>
      </c>
      <c r="N24" s="34">
        <f t="shared" si="2"/>
        <v>21</v>
      </c>
    </row>
    <row r="25" spans="1:14" x14ac:dyDescent="0.3">
      <c r="A25" s="33" t="s">
        <v>102</v>
      </c>
      <c r="B25" s="34" t="s">
        <v>103</v>
      </c>
      <c r="C25" s="38" t="s">
        <v>331</v>
      </c>
      <c r="D25" s="34" t="s">
        <v>30</v>
      </c>
      <c r="E25" s="34" t="s">
        <v>31</v>
      </c>
      <c r="F25" s="34">
        <v>4</v>
      </c>
      <c r="G25" s="34">
        <v>4111</v>
      </c>
      <c r="H25" s="34" t="s">
        <v>37</v>
      </c>
      <c r="I25" s="34" t="s">
        <v>27</v>
      </c>
      <c r="J25" s="34" t="s">
        <v>18</v>
      </c>
      <c r="K25" s="34" t="str">
        <f t="shared" si="0"/>
        <v>Jaipur</v>
      </c>
      <c r="L25" t="str">
        <f t="shared" si="3"/>
        <v>Unknown</v>
      </c>
      <c r="M25" s="34">
        <f t="shared" si="1"/>
        <v>16444</v>
      </c>
      <c r="N25" s="34">
        <f t="shared" si="2"/>
        <v>19</v>
      </c>
    </row>
    <row r="26" spans="1:14" x14ac:dyDescent="0.3">
      <c r="A26" s="31" t="s">
        <v>104</v>
      </c>
      <c r="B26" s="32" t="s">
        <v>105</v>
      </c>
      <c r="C26" s="37" t="s">
        <v>316</v>
      </c>
      <c r="D26" s="32" t="s">
        <v>16</v>
      </c>
      <c r="E26" s="32" t="s">
        <v>11</v>
      </c>
      <c r="F26" s="32">
        <v>3</v>
      </c>
      <c r="G26" s="32">
        <v>52111</v>
      </c>
      <c r="H26" s="32" t="s">
        <v>19</v>
      </c>
      <c r="I26" s="32" t="s">
        <v>20</v>
      </c>
      <c r="J26" s="32" t="s">
        <v>15</v>
      </c>
      <c r="K26" s="34" t="str">
        <f t="shared" si="0"/>
        <v>Chennai</v>
      </c>
      <c r="L26" t="str">
        <f t="shared" si="3"/>
        <v>Debit Card</v>
      </c>
      <c r="M26" s="34">
        <f t="shared" si="1"/>
        <v>156333</v>
      </c>
      <c r="N26" s="34">
        <f t="shared" si="2"/>
        <v>25</v>
      </c>
    </row>
    <row r="27" spans="1:14" x14ac:dyDescent="0.3">
      <c r="A27" s="33" t="s">
        <v>106</v>
      </c>
      <c r="B27" s="34" t="s">
        <v>107</v>
      </c>
      <c r="C27" s="38" t="s">
        <v>332</v>
      </c>
      <c r="D27" s="34" t="s">
        <v>26</v>
      </c>
      <c r="E27" s="34" t="s">
        <v>11</v>
      </c>
      <c r="F27" s="34">
        <v>4</v>
      </c>
      <c r="G27" s="34">
        <v>22111</v>
      </c>
      <c r="H27" s="34" t="s">
        <v>35</v>
      </c>
      <c r="I27" s="34" t="s">
        <v>27</v>
      </c>
      <c r="J27" s="34" t="s">
        <v>18</v>
      </c>
      <c r="K27" s="34" t="str">
        <f t="shared" si="0"/>
        <v>Hyderabad</v>
      </c>
      <c r="L27" t="str">
        <f t="shared" si="3"/>
        <v>UPI</v>
      </c>
      <c r="M27" s="34">
        <f t="shared" si="1"/>
        <v>88444</v>
      </c>
      <c r="N27" s="34">
        <f t="shared" si="2"/>
        <v>24</v>
      </c>
    </row>
    <row r="28" spans="1:14" x14ac:dyDescent="0.3">
      <c r="A28" s="31" t="s">
        <v>108</v>
      </c>
      <c r="B28" s="32" t="s">
        <v>109</v>
      </c>
      <c r="C28" s="37" t="s">
        <v>333</v>
      </c>
      <c r="D28" s="32" t="s">
        <v>28</v>
      </c>
      <c r="E28" s="32" t="s">
        <v>23</v>
      </c>
      <c r="F28" s="32">
        <v>2</v>
      </c>
      <c r="G28" s="32">
        <v>1211</v>
      </c>
      <c r="H28" s="32" t="s">
        <v>19</v>
      </c>
      <c r="I28" s="32" t="s">
        <v>32</v>
      </c>
      <c r="J28" s="32" t="s">
        <v>18</v>
      </c>
      <c r="K28" s="34" t="str">
        <f t="shared" si="0"/>
        <v>Chennai</v>
      </c>
      <c r="L28" t="str">
        <f t="shared" si="3"/>
        <v>Debit Card</v>
      </c>
      <c r="M28" s="34">
        <f t="shared" si="1"/>
        <v>2422</v>
      </c>
      <c r="N28" s="34">
        <f t="shared" si="2"/>
        <v>25</v>
      </c>
    </row>
    <row r="29" spans="1:14" x14ac:dyDescent="0.3">
      <c r="A29" s="33" t="s">
        <v>110</v>
      </c>
      <c r="B29" s="34" t="s">
        <v>111</v>
      </c>
      <c r="C29" s="38" t="s">
        <v>334</v>
      </c>
      <c r="D29" s="34" t="s">
        <v>16</v>
      </c>
      <c r="E29" s="34" t="s">
        <v>11</v>
      </c>
      <c r="F29" s="34">
        <v>1</v>
      </c>
      <c r="G29" s="34">
        <v>61111</v>
      </c>
      <c r="H29" s="34" t="s">
        <v>13</v>
      </c>
      <c r="I29" s="34" t="s">
        <v>25</v>
      </c>
      <c r="J29" s="34" t="s">
        <v>21</v>
      </c>
      <c r="K29" s="34" t="str">
        <f t="shared" si="0"/>
        <v>Delhi</v>
      </c>
      <c r="L29" t="str">
        <f t="shared" si="3"/>
        <v>Net Banking</v>
      </c>
      <c r="M29" s="34">
        <f t="shared" si="1"/>
        <v>61111</v>
      </c>
      <c r="N29" s="34">
        <f t="shared" si="2"/>
        <v>12</v>
      </c>
    </row>
    <row r="30" spans="1:14" x14ac:dyDescent="0.3">
      <c r="A30" s="31" t="s">
        <v>112</v>
      </c>
      <c r="B30" s="32" t="s">
        <v>113</v>
      </c>
      <c r="C30" s="37" t="s">
        <v>335</v>
      </c>
      <c r="D30" s="32" t="s">
        <v>28</v>
      </c>
      <c r="E30" s="32" t="s">
        <v>23</v>
      </c>
      <c r="F30" s="32">
        <v>0</v>
      </c>
      <c r="G30" s="32">
        <v>1811</v>
      </c>
      <c r="H30" s="32" t="s">
        <v>29</v>
      </c>
      <c r="I30" s="32" t="s">
        <v>32</v>
      </c>
      <c r="J30" s="32" t="s">
        <v>18</v>
      </c>
      <c r="K30" s="34" t="str">
        <f t="shared" si="0"/>
        <v>Kolkata</v>
      </c>
      <c r="L30" t="str">
        <f t="shared" si="3"/>
        <v>Cash</v>
      </c>
      <c r="M30" s="34">
        <f t="shared" si="1"/>
        <v>0</v>
      </c>
      <c r="N30" s="34">
        <f t="shared" si="2"/>
        <v>15</v>
      </c>
    </row>
    <row r="31" spans="1:14" x14ac:dyDescent="0.3">
      <c r="A31" s="33" t="s">
        <v>114</v>
      </c>
      <c r="B31" s="34" t="s">
        <v>113</v>
      </c>
      <c r="C31" s="38" t="s">
        <v>336</v>
      </c>
      <c r="D31" s="34" t="s">
        <v>10</v>
      </c>
      <c r="E31" s="34" t="s">
        <v>11</v>
      </c>
      <c r="F31" s="34">
        <v>3</v>
      </c>
      <c r="G31" s="34">
        <v>42111</v>
      </c>
      <c r="H31" s="34" t="s">
        <v>19</v>
      </c>
      <c r="I31" s="34" t="s">
        <v>14</v>
      </c>
      <c r="J31" s="34" t="s">
        <v>21</v>
      </c>
      <c r="K31" s="34" t="str">
        <f t="shared" si="0"/>
        <v>Chennai</v>
      </c>
      <c r="L31" t="str">
        <f t="shared" si="3"/>
        <v>Net Banking</v>
      </c>
      <c r="M31" s="34">
        <f t="shared" si="1"/>
        <v>126333</v>
      </c>
      <c r="N31" s="34">
        <f t="shared" si="2"/>
        <v>14</v>
      </c>
    </row>
    <row r="32" spans="1:14" x14ac:dyDescent="0.3">
      <c r="A32" s="31" t="s">
        <v>114</v>
      </c>
      <c r="B32" s="32" t="s">
        <v>115</v>
      </c>
      <c r="C32" s="37" t="s">
        <v>337</v>
      </c>
      <c r="D32" s="32" t="s">
        <v>22</v>
      </c>
      <c r="E32" s="32" t="s">
        <v>23</v>
      </c>
      <c r="F32" s="32">
        <v>4</v>
      </c>
      <c r="G32" s="32">
        <v>711</v>
      </c>
      <c r="H32" s="32" t="s">
        <v>67</v>
      </c>
      <c r="I32" s="32" t="s">
        <v>32</v>
      </c>
      <c r="J32" s="32" t="s">
        <v>18</v>
      </c>
      <c r="K32" s="34" t="str">
        <f t="shared" si="0"/>
        <v>Bangalore</v>
      </c>
      <c r="L32" t="str">
        <f t="shared" si="3"/>
        <v>Credit Card</v>
      </c>
      <c r="M32" s="34">
        <f t="shared" si="1"/>
        <v>2844</v>
      </c>
      <c r="N32" s="34">
        <f t="shared" si="2"/>
        <v>15</v>
      </c>
    </row>
    <row r="33" spans="1:14" x14ac:dyDescent="0.3">
      <c r="A33" s="33" t="s">
        <v>116</v>
      </c>
      <c r="B33" s="34" t="s">
        <v>70</v>
      </c>
      <c r="C33" s="38" t="s">
        <v>338</v>
      </c>
      <c r="D33" s="34" t="s">
        <v>36</v>
      </c>
      <c r="E33" s="34" t="s">
        <v>23</v>
      </c>
      <c r="F33" s="34">
        <v>1</v>
      </c>
      <c r="G33" s="34">
        <v>1211</v>
      </c>
      <c r="H33" s="34" t="s">
        <v>37</v>
      </c>
      <c r="I33" s="34" t="s">
        <v>14</v>
      </c>
      <c r="J33" s="34" t="s">
        <v>18</v>
      </c>
      <c r="K33" s="34" t="str">
        <f t="shared" si="0"/>
        <v>Jaipur</v>
      </c>
      <c r="L33" t="str">
        <f t="shared" si="3"/>
        <v>Net Banking</v>
      </c>
      <c r="M33" s="34">
        <f t="shared" si="1"/>
        <v>1211</v>
      </c>
      <c r="N33" s="34">
        <f t="shared" si="2"/>
        <v>17</v>
      </c>
    </row>
    <row r="34" spans="1:14" x14ac:dyDescent="0.3">
      <c r="A34" s="31" t="s">
        <v>117</v>
      </c>
      <c r="B34" s="32" t="s">
        <v>118</v>
      </c>
      <c r="C34" s="37" t="s">
        <v>339</v>
      </c>
      <c r="D34" s="32" t="s">
        <v>10</v>
      </c>
      <c r="E34" s="32" t="s">
        <v>11</v>
      </c>
      <c r="F34" s="32">
        <v>4</v>
      </c>
      <c r="G34" s="32">
        <v>22111</v>
      </c>
      <c r="H34" s="32" t="s">
        <v>19</v>
      </c>
      <c r="I34" s="32" t="s">
        <v>14</v>
      </c>
      <c r="J34" s="32" t="s">
        <v>15</v>
      </c>
      <c r="K34" s="34" t="str">
        <f t="shared" si="0"/>
        <v>Chennai</v>
      </c>
      <c r="L34" t="str">
        <f t="shared" si="3"/>
        <v>Credit Card</v>
      </c>
      <c r="M34" s="34">
        <f t="shared" si="1"/>
        <v>88444</v>
      </c>
      <c r="N34" s="34">
        <f t="shared" si="2"/>
        <v>24</v>
      </c>
    </row>
    <row r="35" spans="1:14" x14ac:dyDescent="0.3">
      <c r="A35" s="33" t="s">
        <v>119</v>
      </c>
      <c r="B35" s="34" t="s">
        <v>120</v>
      </c>
      <c r="C35" s="38" t="s">
        <v>317</v>
      </c>
      <c r="D35" s="34" t="s">
        <v>30</v>
      </c>
      <c r="E35" s="34" t="s">
        <v>31</v>
      </c>
      <c r="F35" s="34">
        <v>1</v>
      </c>
      <c r="G35" s="34">
        <v>9111</v>
      </c>
      <c r="H35" s="34" t="s">
        <v>17</v>
      </c>
      <c r="I35" s="34" t="s">
        <v>25</v>
      </c>
      <c r="J35" s="34" t="s">
        <v>18</v>
      </c>
      <c r="K35" s="34" t="str">
        <f t="shared" si="0"/>
        <v>Mumbai</v>
      </c>
      <c r="L35" t="str">
        <f t="shared" si="3"/>
        <v>Credit Card</v>
      </c>
      <c r="M35" s="34">
        <f t="shared" si="1"/>
        <v>9111</v>
      </c>
      <c r="N35" s="34">
        <f t="shared" si="2"/>
        <v>18</v>
      </c>
    </row>
    <row r="36" spans="1:14" x14ac:dyDescent="0.3">
      <c r="A36" s="31" t="s">
        <v>121</v>
      </c>
      <c r="B36" s="32" t="s">
        <v>89</v>
      </c>
      <c r="C36" s="37" t="s">
        <v>340</v>
      </c>
      <c r="D36" s="32" t="s">
        <v>22</v>
      </c>
      <c r="E36" s="32" t="s">
        <v>23</v>
      </c>
      <c r="F36" s="32">
        <v>2</v>
      </c>
      <c r="G36" s="32">
        <v>711</v>
      </c>
      <c r="H36" s="32" t="s">
        <v>29</v>
      </c>
      <c r="I36" s="32" t="s">
        <v>32</v>
      </c>
      <c r="J36" s="32" t="s">
        <v>15</v>
      </c>
      <c r="K36" s="34" t="str">
        <f t="shared" si="0"/>
        <v>Kolkata</v>
      </c>
      <c r="L36" t="str">
        <f t="shared" si="3"/>
        <v>Cash</v>
      </c>
      <c r="M36" s="34">
        <f t="shared" si="1"/>
        <v>1422</v>
      </c>
      <c r="N36" s="34">
        <f t="shared" si="2"/>
        <v>21</v>
      </c>
    </row>
    <row r="37" spans="1:14" x14ac:dyDescent="0.3">
      <c r="A37" s="33" t="s">
        <v>122</v>
      </c>
      <c r="B37" s="34" t="s">
        <v>123</v>
      </c>
      <c r="C37" s="38" t="s">
        <v>341</v>
      </c>
      <c r="D37" s="34" t="s">
        <v>36</v>
      </c>
      <c r="E37" s="34" t="s">
        <v>23</v>
      </c>
      <c r="F37" s="34">
        <v>2</v>
      </c>
      <c r="G37" s="34">
        <v>1811</v>
      </c>
      <c r="H37" s="34" t="s">
        <v>35</v>
      </c>
      <c r="I37" s="34" t="s">
        <v>25</v>
      </c>
      <c r="J37" s="34" t="s">
        <v>15</v>
      </c>
      <c r="K37" s="34" t="str">
        <f t="shared" si="0"/>
        <v>Hyderabad</v>
      </c>
      <c r="L37" t="str">
        <f t="shared" si="3"/>
        <v>Net Banking</v>
      </c>
      <c r="M37" s="34">
        <f t="shared" si="1"/>
        <v>3622</v>
      </c>
      <c r="N37" s="34">
        <f t="shared" si="2"/>
        <v>19</v>
      </c>
    </row>
    <row r="38" spans="1:14" x14ac:dyDescent="0.3">
      <c r="A38" s="31" t="s">
        <v>124</v>
      </c>
      <c r="B38" s="32" t="s">
        <v>125</v>
      </c>
      <c r="C38" s="37" t="s">
        <v>342</v>
      </c>
      <c r="D38" s="32" t="s">
        <v>28</v>
      </c>
      <c r="E38" s="32" t="s">
        <v>23</v>
      </c>
      <c r="F38" s="32">
        <v>4</v>
      </c>
      <c r="G38" s="32">
        <v>1211</v>
      </c>
      <c r="H38" s="32" t="s">
        <v>67</v>
      </c>
      <c r="I38" s="32" t="s">
        <v>25</v>
      </c>
      <c r="J38" s="32" t="s">
        <v>15</v>
      </c>
      <c r="K38" s="34" t="str">
        <f t="shared" si="0"/>
        <v>Bangalore</v>
      </c>
      <c r="L38" t="str">
        <f t="shared" si="3"/>
        <v>Cash</v>
      </c>
      <c r="M38" s="34">
        <f t="shared" si="1"/>
        <v>4844</v>
      </c>
      <c r="N38" s="34">
        <f t="shared" si="2"/>
        <v>13</v>
      </c>
    </row>
    <row r="39" spans="1:14" x14ac:dyDescent="0.3">
      <c r="A39" s="33" t="s">
        <v>126</v>
      </c>
      <c r="B39" s="34" t="s">
        <v>127</v>
      </c>
      <c r="C39" s="38" t="s">
        <v>338</v>
      </c>
      <c r="D39" s="34" t="s">
        <v>22</v>
      </c>
      <c r="E39" s="34" t="s">
        <v>23</v>
      </c>
      <c r="F39" s="34">
        <v>4</v>
      </c>
      <c r="G39" s="34">
        <v>1111</v>
      </c>
      <c r="H39" s="34" t="s">
        <v>37</v>
      </c>
      <c r="I39" s="34" t="s">
        <v>25</v>
      </c>
      <c r="J39" s="34" t="s">
        <v>21</v>
      </c>
      <c r="K39" s="34" t="str">
        <f t="shared" si="0"/>
        <v>Jaipur</v>
      </c>
      <c r="L39" t="str">
        <f t="shared" si="3"/>
        <v>Cash</v>
      </c>
      <c r="M39" s="34">
        <f t="shared" si="1"/>
        <v>4444</v>
      </c>
      <c r="N39" s="34">
        <f t="shared" si="2"/>
        <v>17</v>
      </c>
    </row>
    <row r="40" spans="1:14" x14ac:dyDescent="0.3">
      <c r="A40" s="31" t="s">
        <v>128</v>
      </c>
      <c r="B40" s="32" t="s">
        <v>129</v>
      </c>
      <c r="C40" s="37" t="s">
        <v>324</v>
      </c>
      <c r="D40" s="32" t="s">
        <v>16</v>
      </c>
      <c r="E40" s="32" t="s">
        <v>11</v>
      </c>
      <c r="F40" s="32">
        <v>1</v>
      </c>
      <c r="G40" s="32">
        <v>68111</v>
      </c>
      <c r="H40" s="32" t="s">
        <v>29</v>
      </c>
      <c r="I40" s="32" t="s">
        <v>27</v>
      </c>
      <c r="J40" s="32" t="s">
        <v>18</v>
      </c>
      <c r="K40" s="34" t="str">
        <f t="shared" si="0"/>
        <v>Kolkata</v>
      </c>
      <c r="L40" t="str">
        <f t="shared" si="3"/>
        <v>Cash</v>
      </c>
      <c r="M40" s="34">
        <f t="shared" si="1"/>
        <v>68111</v>
      </c>
      <c r="N40" s="34">
        <f t="shared" si="2"/>
        <v>19</v>
      </c>
    </row>
    <row r="41" spans="1:14" x14ac:dyDescent="0.3">
      <c r="A41" s="33" t="s">
        <v>130</v>
      </c>
      <c r="B41" s="34" t="s">
        <v>131</v>
      </c>
      <c r="C41" s="38" t="s">
        <v>343</v>
      </c>
      <c r="D41" s="34" t="s">
        <v>22</v>
      </c>
      <c r="E41" s="34" t="s">
        <v>23</v>
      </c>
      <c r="F41" s="34">
        <v>4</v>
      </c>
      <c r="G41" s="34">
        <v>1111</v>
      </c>
      <c r="H41" s="34" t="s">
        <v>37</v>
      </c>
      <c r="I41" s="34" t="s">
        <v>20</v>
      </c>
      <c r="J41" s="34" t="s">
        <v>15</v>
      </c>
      <c r="K41" s="34" t="str">
        <f t="shared" si="0"/>
        <v>Jaipur</v>
      </c>
      <c r="L41" t="str">
        <f t="shared" si="3"/>
        <v>Debit Card</v>
      </c>
      <c r="M41" s="34">
        <f t="shared" si="1"/>
        <v>4444</v>
      </c>
      <c r="N41" s="34">
        <f t="shared" si="2"/>
        <v>29</v>
      </c>
    </row>
    <row r="42" spans="1:14" x14ac:dyDescent="0.3">
      <c r="A42" s="31" t="s">
        <v>130</v>
      </c>
      <c r="B42" s="32" t="s">
        <v>132</v>
      </c>
      <c r="C42" s="37" t="s">
        <v>344</v>
      </c>
      <c r="D42" s="32" t="s">
        <v>28</v>
      </c>
      <c r="E42" s="32" t="s">
        <v>23</v>
      </c>
      <c r="F42" s="32">
        <v>1</v>
      </c>
      <c r="G42" s="32">
        <v>1211</v>
      </c>
      <c r="H42" s="32" t="s">
        <v>29</v>
      </c>
      <c r="I42" s="32" t="s">
        <v>14</v>
      </c>
      <c r="J42" s="32" t="s">
        <v>21</v>
      </c>
      <c r="K42" s="34" t="str">
        <f t="shared" si="0"/>
        <v>Kolkata</v>
      </c>
      <c r="L42" t="str">
        <f t="shared" si="3"/>
        <v>UPI</v>
      </c>
      <c r="M42" s="34">
        <f t="shared" si="1"/>
        <v>1211</v>
      </c>
      <c r="N42" s="34">
        <f t="shared" si="2"/>
        <v>25</v>
      </c>
    </row>
    <row r="43" spans="1:14" x14ac:dyDescent="0.3">
      <c r="A43" s="33" t="s">
        <v>133</v>
      </c>
      <c r="B43" s="34" t="s">
        <v>134</v>
      </c>
      <c r="C43" s="38" t="s">
        <v>345</v>
      </c>
      <c r="D43" s="34" t="s">
        <v>10</v>
      </c>
      <c r="E43" s="34" t="s">
        <v>11</v>
      </c>
      <c r="F43" s="34">
        <v>2</v>
      </c>
      <c r="G43" s="34">
        <v>15111</v>
      </c>
      <c r="H43" s="34" t="s">
        <v>67</v>
      </c>
      <c r="I43" s="34" t="s">
        <v>20</v>
      </c>
      <c r="J43" s="34" t="s">
        <v>21</v>
      </c>
      <c r="K43" s="34" t="str">
        <f t="shared" si="0"/>
        <v>Bangalore</v>
      </c>
      <c r="L43" t="str">
        <f t="shared" si="3"/>
        <v>Credit Card</v>
      </c>
      <c r="M43" s="34">
        <f t="shared" si="1"/>
        <v>30222</v>
      </c>
      <c r="N43" s="34">
        <f t="shared" si="2"/>
        <v>18</v>
      </c>
    </row>
    <row r="44" spans="1:14" x14ac:dyDescent="0.3">
      <c r="A44" s="31" t="s">
        <v>135</v>
      </c>
      <c r="B44" s="32" t="s">
        <v>136</v>
      </c>
      <c r="C44" s="37" t="s">
        <v>336</v>
      </c>
      <c r="D44" s="32" t="s">
        <v>22</v>
      </c>
      <c r="E44" s="32" t="s">
        <v>23</v>
      </c>
      <c r="F44" s="32">
        <v>1</v>
      </c>
      <c r="G44" s="32">
        <v>711</v>
      </c>
      <c r="H44" s="32" t="s">
        <v>13</v>
      </c>
      <c r="I44" s="32" t="s">
        <v>25</v>
      </c>
      <c r="J44" s="32" t="s">
        <v>18</v>
      </c>
      <c r="K44" s="34" t="str">
        <f t="shared" si="0"/>
        <v>Delhi</v>
      </c>
      <c r="L44" t="str">
        <f t="shared" si="3"/>
        <v>UPI</v>
      </c>
      <c r="M44" s="34">
        <f t="shared" si="1"/>
        <v>711</v>
      </c>
      <c r="N44" s="34">
        <f t="shared" si="2"/>
        <v>14</v>
      </c>
    </row>
    <row r="45" spans="1:14" x14ac:dyDescent="0.3">
      <c r="A45" s="33" t="s">
        <v>137</v>
      </c>
      <c r="B45" s="34" t="s">
        <v>138</v>
      </c>
      <c r="C45" s="38" t="s">
        <v>346</v>
      </c>
      <c r="D45" s="34" t="s">
        <v>30</v>
      </c>
      <c r="E45" s="34" t="s">
        <v>31</v>
      </c>
      <c r="F45" s="34">
        <v>2</v>
      </c>
      <c r="G45" s="34">
        <v>9111</v>
      </c>
      <c r="H45" s="34" t="s">
        <v>64</v>
      </c>
      <c r="I45" s="34" t="s">
        <v>14</v>
      </c>
      <c r="J45" s="34" t="s">
        <v>15</v>
      </c>
      <c r="K45" s="34" t="str">
        <f t="shared" si="0"/>
        <v>Jaipur</v>
      </c>
      <c r="L45" t="str">
        <f t="shared" si="3"/>
        <v>Cash</v>
      </c>
      <c r="M45" s="34">
        <f t="shared" si="1"/>
        <v>18222</v>
      </c>
      <c r="N45" s="34">
        <f t="shared" si="2"/>
        <v>31</v>
      </c>
    </row>
    <row r="46" spans="1:14" x14ac:dyDescent="0.3">
      <c r="A46" s="31" t="s">
        <v>139</v>
      </c>
      <c r="B46" s="32" t="s">
        <v>140</v>
      </c>
      <c r="C46" s="37" t="s">
        <v>347</v>
      </c>
      <c r="D46" s="32" t="s">
        <v>22</v>
      </c>
      <c r="E46" s="32" t="s">
        <v>23</v>
      </c>
      <c r="F46" s="32">
        <v>4</v>
      </c>
      <c r="G46" s="32">
        <v>411</v>
      </c>
      <c r="H46" s="32" t="s">
        <v>29</v>
      </c>
      <c r="I46" s="32" t="s">
        <v>27</v>
      </c>
      <c r="J46" s="32" t="s">
        <v>18</v>
      </c>
      <c r="K46" s="34" t="str">
        <f t="shared" si="0"/>
        <v>Kolkata</v>
      </c>
      <c r="L46" t="str">
        <f t="shared" si="3"/>
        <v>Credit Card</v>
      </c>
      <c r="M46" s="34">
        <f t="shared" si="1"/>
        <v>1644</v>
      </c>
      <c r="N46" s="34">
        <f t="shared" si="2"/>
        <v>17</v>
      </c>
    </row>
    <row r="47" spans="1:14" x14ac:dyDescent="0.3">
      <c r="A47" s="33" t="s">
        <v>141</v>
      </c>
      <c r="B47" s="34" t="s">
        <v>78</v>
      </c>
      <c r="C47" s="38" t="s">
        <v>315</v>
      </c>
      <c r="D47" s="34" t="s">
        <v>22</v>
      </c>
      <c r="E47" s="34" t="s">
        <v>23</v>
      </c>
      <c r="F47" s="34">
        <v>3</v>
      </c>
      <c r="G47" s="34">
        <v>1111</v>
      </c>
      <c r="H47" s="34" t="s">
        <v>35</v>
      </c>
      <c r="I47" s="34" t="s">
        <v>25</v>
      </c>
      <c r="J47" s="34" t="s">
        <v>15</v>
      </c>
      <c r="K47" s="34" t="str">
        <f t="shared" si="0"/>
        <v>Hyderabad</v>
      </c>
      <c r="L47" t="str">
        <f t="shared" si="3"/>
        <v>Debit Card</v>
      </c>
      <c r="M47" s="34">
        <f t="shared" si="1"/>
        <v>3333</v>
      </c>
      <c r="N47" s="34">
        <f t="shared" si="2"/>
        <v>21</v>
      </c>
    </row>
    <row r="48" spans="1:14" x14ac:dyDescent="0.3">
      <c r="A48" s="31" t="s">
        <v>142</v>
      </c>
      <c r="B48" s="32" t="s">
        <v>143</v>
      </c>
      <c r="C48" s="37" t="s">
        <v>348</v>
      </c>
      <c r="D48" s="32" t="s">
        <v>10</v>
      </c>
      <c r="E48" s="32" t="s">
        <v>11</v>
      </c>
      <c r="F48" s="32">
        <v>3</v>
      </c>
      <c r="G48" s="32">
        <v>42111</v>
      </c>
      <c r="H48" s="32" t="s">
        <v>29</v>
      </c>
      <c r="I48" s="32" t="s">
        <v>27</v>
      </c>
      <c r="J48" s="32" t="s">
        <v>21</v>
      </c>
      <c r="K48" s="34" t="str">
        <f t="shared" si="0"/>
        <v>Kolkata</v>
      </c>
      <c r="L48" t="str">
        <f t="shared" si="3"/>
        <v>Cash</v>
      </c>
      <c r="M48" s="34">
        <f t="shared" si="1"/>
        <v>126333</v>
      </c>
      <c r="N48" s="34">
        <f t="shared" si="2"/>
        <v>16</v>
      </c>
    </row>
    <row r="49" spans="1:14" x14ac:dyDescent="0.3">
      <c r="A49" s="33" t="s">
        <v>144</v>
      </c>
      <c r="B49" s="34" t="s">
        <v>85</v>
      </c>
      <c r="C49" s="38" t="s">
        <v>314</v>
      </c>
      <c r="D49" s="34" t="s">
        <v>30</v>
      </c>
      <c r="E49" s="34" t="s">
        <v>31</v>
      </c>
      <c r="F49" s="34">
        <v>3</v>
      </c>
      <c r="G49" s="34">
        <v>2511</v>
      </c>
      <c r="H49" s="34" t="s">
        <v>17</v>
      </c>
      <c r="I49" s="34" t="s">
        <v>14</v>
      </c>
      <c r="J49" s="34" t="s">
        <v>15</v>
      </c>
      <c r="K49" s="34" t="str">
        <f t="shared" si="0"/>
        <v>Mumbai</v>
      </c>
      <c r="L49" t="str">
        <f t="shared" si="3"/>
        <v>Debit Card</v>
      </c>
      <c r="M49" s="34">
        <f t="shared" si="1"/>
        <v>7533</v>
      </c>
      <c r="N49" s="34">
        <f t="shared" si="2"/>
        <v>12</v>
      </c>
    </row>
    <row r="50" spans="1:14" x14ac:dyDescent="0.3">
      <c r="A50" s="31" t="s">
        <v>145</v>
      </c>
      <c r="B50" s="32" t="s">
        <v>146</v>
      </c>
      <c r="C50" s="37" t="s">
        <v>317</v>
      </c>
      <c r="D50" s="32" t="s">
        <v>30</v>
      </c>
      <c r="E50" s="32" t="s">
        <v>31</v>
      </c>
      <c r="F50" s="32">
        <v>3</v>
      </c>
      <c r="G50" s="32">
        <v>6511</v>
      </c>
      <c r="H50" s="32" t="s">
        <v>17</v>
      </c>
      <c r="I50" s="32" t="s">
        <v>27</v>
      </c>
      <c r="J50" s="32" t="s">
        <v>15</v>
      </c>
      <c r="K50" s="34" t="str">
        <f t="shared" si="0"/>
        <v>Mumbai</v>
      </c>
      <c r="L50" t="str">
        <f t="shared" si="3"/>
        <v>Credit Card</v>
      </c>
      <c r="M50" s="34">
        <f t="shared" si="1"/>
        <v>19533</v>
      </c>
      <c r="N50" s="34">
        <f t="shared" si="2"/>
        <v>18</v>
      </c>
    </row>
    <row r="51" spans="1:14" x14ac:dyDescent="0.3">
      <c r="A51" s="33" t="s">
        <v>147</v>
      </c>
      <c r="B51" s="34" t="s">
        <v>148</v>
      </c>
      <c r="C51" s="38" t="s">
        <v>336</v>
      </c>
      <c r="D51" s="34" t="s">
        <v>16</v>
      </c>
      <c r="E51" s="34" t="s">
        <v>11</v>
      </c>
      <c r="F51" s="34">
        <v>3</v>
      </c>
      <c r="G51" s="34">
        <v>52111</v>
      </c>
      <c r="H51" s="34" t="s">
        <v>17</v>
      </c>
      <c r="I51" s="34" t="s">
        <v>20</v>
      </c>
      <c r="J51" s="34" t="s">
        <v>18</v>
      </c>
      <c r="K51" s="34" t="str">
        <f t="shared" si="0"/>
        <v>Mumbai</v>
      </c>
      <c r="L51" t="str">
        <f t="shared" si="3"/>
        <v>Debit Card</v>
      </c>
      <c r="M51" s="34">
        <f t="shared" si="1"/>
        <v>156333</v>
      </c>
      <c r="N51" s="34">
        <f t="shared" si="2"/>
        <v>14</v>
      </c>
    </row>
    <row r="52" spans="1:14" x14ac:dyDescent="0.3">
      <c r="A52" s="31" t="s">
        <v>147</v>
      </c>
      <c r="B52" s="32" t="s">
        <v>149</v>
      </c>
      <c r="C52" s="37" t="s">
        <v>329</v>
      </c>
      <c r="D52" s="32" t="s">
        <v>30</v>
      </c>
      <c r="E52" s="32" t="s">
        <v>31</v>
      </c>
      <c r="F52" s="32">
        <v>1</v>
      </c>
      <c r="G52" s="32">
        <v>4111</v>
      </c>
      <c r="H52" s="32" t="s">
        <v>13</v>
      </c>
      <c r="I52" s="32" t="s">
        <v>14</v>
      </c>
      <c r="J52" s="32" t="s">
        <v>15</v>
      </c>
      <c r="K52" s="34" t="str">
        <f t="shared" si="0"/>
        <v>Delhi</v>
      </c>
      <c r="L52" t="str">
        <f t="shared" si="3"/>
        <v>UPI</v>
      </c>
      <c r="M52" s="34">
        <f t="shared" si="1"/>
        <v>4111</v>
      </c>
      <c r="N52" s="34">
        <f t="shared" si="2"/>
        <v>16</v>
      </c>
    </row>
    <row r="53" spans="1:14" x14ac:dyDescent="0.3">
      <c r="A53" s="33" t="s">
        <v>150</v>
      </c>
      <c r="B53" s="34" t="s">
        <v>151</v>
      </c>
      <c r="C53" s="38" t="s">
        <v>321</v>
      </c>
      <c r="D53" s="34" t="s">
        <v>34</v>
      </c>
      <c r="E53" s="34" t="s">
        <v>11</v>
      </c>
      <c r="F53" s="34">
        <v>2</v>
      </c>
      <c r="G53" s="34">
        <v>25111</v>
      </c>
      <c r="H53" s="34" t="s">
        <v>13</v>
      </c>
      <c r="I53" s="34" t="s">
        <v>14</v>
      </c>
      <c r="J53" s="34" t="s">
        <v>21</v>
      </c>
      <c r="K53" s="34" t="str">
        <f t="shared" si="0"/>
        <v>Delhi</v>
      </c>
      <c r="L53" t="str">
        <f t="shared" si="3"/>
        <v>Credit Card</v>
      </c>
      <c r="M53" s="34">
        <f t="shared" si="1"/>
        <v>50222</v>
      </c>
      <c r="N53" s="34">
        <f t="shared" si="2"/>
        <v>19</v>
      </c>
    </row>
    <row r="54" spans="1:14" x14ac:dyDescent="0.3">
      <c r="A54" s="31" t="s">
        <v>152</v>
      </c>
      <c r="B54" s="32" t="s">
        <v>120</v>
      </c>
      <c r="C54" s="37" t="s">
        <v>349</v>
      </c>
      <c r="D54" s="32" t="s">
        <v>28</v>
      </c>
      <c r="E54" s="32" t="s">
        <v>23</v>
      </c>
      <c r="F54" s="32">
        <v>3</v>
      </c>
      <c r="G54" s="32">
        <v>711</v>
      </c>
      <c r="H54" s="32" t="s">
        <v>35</v>
      </c>
      <c r="I54" s="32" t="s">
        <v>27</v>
      </c>
      <c r="J54" s="32" t="s">
        <v>15</v>
      </c>
      <c r="K54" s="34" t="str">
        <f t="shared" si="0"/>
        <v>Hyderabad</v>
      </c>
      <c r="L54" t="str">
        <f t="shared" si="3"/>
        <v>Credit Card</v>
      </c>
      <c r="M54" s="34">
        <f t="shared" si="1"/>
        <v>2133</v>
      </c>
      <c r="N54" s="34">
        <f t="shared" si="2"/>
        <v>29</v>
      </c>
    </row>
    <row r="55" spans="1:14" x14ac:dyDescent="0.3">
      <c r="A55" s="33" t="s">
        <v>153</v>
      </c>
      <c r="B55" s="34" t="s">
        <v>123</v>
      </c>
      <c r="C55" s="38" t="s">
        <v>350</v>
      </c>
      <c r="D55" s="34" t="s">
        <v>28</v>
      </c>
      <c r="E55" s="34" t="s">
        <v>23</v>
      </c>
      <c r="F55" s="34">
        <v>3</v>
      </c>
      <c r="G55" s="34">
        <v>1811</v>
      </c>
      <c r="H55" s="34" t="s">
        <v>67</v>
      </c>
      <c r="I55" s="34" t="s">
        <v>14</v>
      </c>
      <c r="J55" s="34" t="s">
        <v>18</v>
      </c>
      <c r="K55" s="34" t="str">
        <f t="shared" si="0"/>
        <v>Bangalore</v>
      </c>
      <c r="L55" t="str">
        <f t="shared" si="3"/>
        <v>Debit Card</v>
      </c>
      <c r="M55" s="34">
        <f t="shared" si="1"/>
        <v>5433</v>
      </c>
      <c r="N55" s="34">
        <f t="shared" si="2"/>
        <v>28</v>
      </c>
    </row>
    <row r="56" spans="1:14" x14ac:dyDescent="0.3">
      <c r="A56" s="31" t="s">
        <v>154</v>
      </c>
      <c r="B56" s="32" t="s">
        <v>155</v>
      </c>
      <c r="C56" s="37" t="s">
        <v>351</v>
      </c>
      <c r="D56" s="32" t="s">
        <v>36</v>
      </c>
      <c r="E56" s="32" t="s">
        <v>23</v>
      </c>
      <c r="F56" s="32">
        <v>1</v>
      </c>
      <c r="G56" s="32">
        <v>2511</v>
      </c>
      <c r="H56" s="32" t="s">
        <v>24</v>
      </c>
      <c r="I56" s="32" t="s">
        <v>25</v>
      </c>
      <c r="J56" s="32" t="s">
        <v>18</v>
      </c>
      <c r="K56" s="34" t="str">
        <f t="shared" si="0"/>
        <v>Pune</v>
      </c>
      <c r="L56" t="str">
        <f t="shared" si="3"/>
        <v>Credit Card</v>
      </c>
      <c r="M56" s="34">
        <f t="shared" si="1"/>
        <v>2511</v>
      </c>
      <c r="N56" s="34">
        <f t="shared" si="2"/>
        <v>28</v>
      </c>
    </row>
    <row r="57" spans="1:14" x14ac:dyDescent="0.3">
      <c r="A57" s="33" t="s">
        <v>156</v>
      </c>
      <c r="B57" s="34" t="s">
        <v>115</v>
      </c>
      <c r="C57" s="38" t="s">
        <v>352</v>
      </c>
      <c r="D57" s="34" t="s">
        <v>10</v>
      </c>
      <c r="E57" s="34" t="s">
        <v>31</v>
      </c>
      <c r="F57" s="34">
        <v>4</v>
      </c>
      <c r="G57" s="34">
        <v>2511</v>
      </c>
      <c r="H57" s="34" t="s">
        <v>37</v>
      </c>
      <c r="I57" s="34" t="s">
        <v>27</v>
      </c>
      <c r="J57" s="34" t="s">
        <v>21</v>
      </c>
      <c r="K57" s="34" t="str">
        <f t="shared" si="0"/>
        <v>Jaipur</v>
      </c>
      <c r="L57" t="str">
        <f t="shared" si="3"/>
        <v>Cash</v>
      </c>
      <c r="M57" s="34">
        <f t="shared" si="1"/>
        <v>10044</v>
      </c>
      <c r="N57" s="34">
        <f t="shared" si="2"/>
        <v>28</v>
      </c>
    </row>
    <row r="58" spans="1:14" x14ac:dyDescent="0.3">
      <c r="A58" s="31" t="s">
        <v>157</v>
      </c>
      <c r="B58" s="32" t="s">
        <v>158</v>
      </c>
      <c r="C58" s="37" t="s">
        <v>353</v>
      </c>
      <c r="D58" s="32" t="s">
        <v>16</v>
      </c>
      <c r="E58" s="32" t="s">
        <v>11</v>
      </c>
      <c r="F58" s="32">
        <v>2</v>
      </c>
      <c r="G58" s="32">
        <v>68111</v>
      </c>
      <c r="H58" s="32" t="s">
        <v>19</v>
      </c>
      <c r="I58" s="32" t="s">
        <v>27</v>
      </c>
      <c r="J58" s="32" t="s">
        <v>18</v>
      </c>
      <c r="K58" s="34" t="str">
        <f t="shared" si="0"/>
        <v>Chennai</v>
      </c>
      <c r="L58" t="str">
        <f t="shared" si="3"/>
        <v>Debit Card</v>
      </c>
      <c r="M58" s="34">
        <f t="shared" si="1"/>
        <v>136222</v>
      </c>
      <c r="N58" s="34">
        <f t="shared" si="2"/>
        <v>29</v>
      </c>
    </row>
    <row r="59" spans="1:14" x14ac:dyDescent="0.3">
      <c r="A59" s="33" t="s">
        <v>159</v>
      </c>
      <c r="B59" s="34" t="s">
        <v>96</v>
      </c>
      <c r="C59" s="38" t="s">
        <v>335</v>
      </c>
      <c r="D59" s="34" t="s">
        <v>10</v>
      </c>
      <c r="E59" s="34" t="s">
        <v>11</v>
      </c>
      <c r="F59" s="34">
        <v>1</v>
      </c>
      <c r="G59" s="34">
        <v>42111</v>
      </c>
      <c r="H59" s="34" t="s">
        <v>24</v>
      </c>
      <c r="I59" s="34" t="s">
        <v>27</v>
      </c>
      <c r="J59" s="34" t="s">
        <v>15</v>
      </c>
      <c r="K59" s="34" t="str">
        <f t="shared" si="0"/>
        <v>Pune</v>
      </c>
      <c r="L59" t="str">
        <f t="shared" si="3"/>
        <v>Debit Card</v>
      </c>
      <c r="M59" s="34">
        <f t="shared" si="1"/>
        <v>42111</v>
      </c>
      <c r="N59" s="34">
        <f t="shared" si="2"/>
        <v>15</v>
      </c>
    </row>
    <row r="60" spans="1:14" x14ac:dyDescent="0.3">
      <c r="A60" s="31" t="s">
        <v>160</v>
      </c>
      <c r="B60" s="32" t="s">
        <v>99</v>
      </c>
      <c r="C60" s="37" t="s">
        <v>354</v>
      </c>
      <c r="D60" s="32" t="s">
        <v>34</v>
      </c>
      <c r="E60" s="32" t="s">
        <v>11</v>
      </c>
      <c r="F60" s="32">
        <v>1</v>
      </c>
      <c r="G60" s="32">
        <v>35111</v>
      </c>
      <c r="H60" s="32" t="s">
        <v>65</v>
      </c>
      <c r="I60" s="32" t="s">
        <v>32</v>
      </c>
      <c r="J60" s="32" t="s">
        <v>15</v>
      </c>
      <c r="K60" s="34" t="str">
        <f t="shared" si="0"/>
        <v>Unknown</v>
      </c>
      <c r="L60" t="str">
        <f t="shared" si="3"/>
        <v>Debit Card</v>
      </c>
      <c r="M60" s="34">
        <f t="shared" si="1"/>
        <v>35111</v>
      </c>
      <c r="N60" s="34">
        <f t="shared" si="2"/>
        <v>27</v>
      </c>
    </row>
    <row r="61" spans="1:14" x14ac:dyDescent="0.3">
      <c r="A61" s="33" t="s">
        <v>161</v>
      </c>
      <c r="B61" s="34" t="s">
        <v>162</v>
      </c>
      <c r="C61" s="38" t="s">
        <v>320</v>
      </c>
      <c r="D61" s="34" t="s">
        <v>22</v>
      </c>
      <c r="E61" s="34" t="s">
        <v>23</v>
      </c>
      <c r="F61" s="34">
        <v>4</v>
      </c>
      <c r="G61" s="34">
        <v>1111</v>
      </c>
      <c r="H61" s="34" t="s">
        <v>19</v>
      </c>
      <c r="I61" s="34" t="s">
        <v>20</v>
      </c>
      <c r="J61" s="34" t="s">
        <v>15</v>
      </c>
      <c r="K61" s="34" t="str">
        <f t="shared" si="0"/>
        <v>Chennai</v>
      </c>
      <c r="L61" t="str">
        <f t="shared" si="3"/>
        <v>Net Banking</v>
      </c>
      <c r="M61" s="34">
        <f t="shared" si="1"/>
        <v>4444</v>
      </c>
      <c r="N61" s="34">
        <f t="shared" si="2"/>
        <v>11</v>
      </c>
    </row>
    <row r="62" spans="1:14" x14ac:dyDescent="0.3">
      <c r="A62" s="31" t="s">
        <v>161</v>
      </c>
      <c r="B62" s="32" t="s">
        <v>88</v>
      </c>
      <c r="C62" s="37" t="s">
        <v>448</v>
      </c>
      <c r="D62" s="32" t="s">
        <v>10</v>
      </c>
      <c r="E62" s="32" t="s">
        <v>11</v>
      </c>
      <c r="F62" s="32">
        <v>4</v>
      </c>
      <c r="G62" s="32">
        <v>22111</v>
      </c>
      <c r="H62" s="32" t="s">
        <v>65</v>
      </c>
      <c r="I62" s="32" t="s">
        <v>32</v>
      </c>
      <c r="J62" s="32" t="s">
        <v>15</v>
      </c>
      <c r="K62" s="34" t="str">
        <f t="shared" si="0"/>
        <v>Unknown</v>
      </c>
      <c r="L62" t="str">
        <f t="shared" si="3"/>
        <v>UPI</v>
      </c>
      <c r="M62" s="34">
        <f t="shared" si="1"/>
        <v>88444</v>
      </c>
      <c r="N62" s="34">
        <f t="shared" si="2"/>
        <v>21</v>
      </c>
    </row>
    <row r="63" spans="1:14" x14ac:dyDescent="0.3">
      <c r="A63" s="33" t="s">
        <v>163</v>
      </c>
      <c r="B63" s="34" t="s">
        <v>134</v>
      </c>
      <c r="C63" s="38" t="s">
        <v>355</v>
      </c>
      <c r="D63" s="34" t="s">
        <v>34</v>
      </c>
      <c r="E63" s="34" t="s">
        <v>11</v>
      </c>
      <c r="F63" s="34">
        <v>2</v>
      </c>
      <c r="G63" s="34">
        <v>12111</v>
      </c>
      <c r="H63" s="34" t="s">
        <v>35</v>
      </c>
      <c r="I63" s="34" t="s">
        <v>14</v>
      </c>
      <c r="J63" s="34" t="s">
        <v>18</v>
      </c>
      <c r="K63" s="34" t="str">
        <f t="shared" si="0"/>
        <v>Hyderabad</v>
      </c>
      <c r="L63" t="str">
        <f t="shared" si="3"/>
        <v>Net Banking</v>
      </c>
      <c r="M63" s="34">
        <f t="shared" si="1"/>
        <v>24222</v>
      </c>
      <c r="N63" s="34">
        <f t="shared" si="2"/>
        <v>12</v>
      </c>
    </row>
    <row r="64" spans="1:14" x14ac:dyDescent="0.3">
      <c r="A64" s="31" t="s">
        <v>164</v>
      </c>
      <c r="B64" s="32" t="s">
        <v>74</v>
      </c>
      <c r="C64" s="37" t="s">
        <v>356</v>
      </c>
      <c r="D64" s="32" t="s">
        <v>30</v>
      </c>
      <c r="E64" s="32" t="s">
        <v>31</v>
      </c>
      <c r="F64" s="32">
        <v>3</v>
      </c>
      <c r="G64" s="32">
        <v>4111</v>
      </c>
      <c r="H64" s="32" t="s">
        <v>29</v>
      </c>
      <c r="I64" s="32" t="s">
        <v>25</v>
      </c>
      <c r="J64" s="32" t="s">
        <v>21</v>
      </c>
      <c r="K64" s="34" t="str">
        <f t="shared" si="0"/>
        <v>Kolkata</v>
      </c>
      <c r="L64" t="str">
        <f t="shared" si="3"/>
        <v>Credit Card</v>
      </c>
      <c r="M64" s="34">
        <f t="shared" si="1"/>
        <v>12333</v>
      </c>
      <c r="N64" s="34">
        <f t="shared" si="2"/>
        <v>31</v>
      </c>
    </row>
    <row r="65" spans="1:14" x14ac:dyDescent="0.3">
      <c r="A65" s="33" t="s">
        <v>165</v>
      </c>
      <c r="B65" s="34" t="s">
        <v>166</v>
      </c>
      <c r="C65" s="38" t="s">
        <v>315</v>
      </c>
      <c r="D65" s="34" t="s">
        <v>34</v>
      </c>
      <c r="E65" s="34" t="s">
        <v>11</v>
      </c>
      <c r="F65" s="34">
        <v>4</v>
      </c>
      <c r="G65" s="34">
        <v>12111</v>
      </c>
      <c r="H65" s="34" t="s">
        <v>35</v>
      </c>
      <c r="I65" s="34" t="s">
        <v>20</v>
      </c>
      <c r="J65" s="34" t="s">
        <v>21</v>
      </c>
      <c r="K65" s="34" t="str">
        <f t="shared" si="0"/>
        <v>Hyderabad</v>
      </c>
      <c r="L65" t="str">
        <f t="shared" si="3"/>
        <v>Cash</v>
      </c>
      <c r="M65" s="34">
        <f t="shared" si="1"/>
        <v>48444</v>
      </c>
      <c r="N65" s="34">
        <f t="shared" si="2"/>
        <v>21</v>
      </c>
    </row>
    <row r="66" spans="1:14" x14ac:dyDescent="0.3">
      <c r="A66" s="31" t="s">
        <v>167</v>
      </c>
      <c r="B66" s="32" t="s">
        <v>125</v>
      </c>
      <c r="C66" s="37" t="s">
        <v>357</v>
      </c>
      <c r="D66" s="32" t="s">
        <v>36</v>
      </c>
      <c r="E66" s="32" t="s">
        <v>23</v>
      </c>
      <c r="F66" s="32">
        <v>4</v>
      </c>
      <c r="G66" s="32">
        <v>3511</v>
      </c>
      <c r="H66" s="32" t="s">
        <v>19</v>
      </c>
      <c r="I66" s="32" t="s">
        <v>27</v>
      </c>
      <c r="J66" s="32" t="s">
        <v>21</v>
      </c>
      <c r="K66" s="34" t="str">
        <f t="shared" ref="K66:K129" si="4">PROPER(TRIM(H66))</f>
        <v>Chennai</v>
      </c>
      <c r="L66" t="str">
        <f t="shared" si="3"/>
        <v>UPI</v>
      </c>
      <c r="M66" s="34">
        <f t="shared" ref="M66:M129" si="5">IFERROR(F66*G66,0)</f>
        <v>14044</v>
      </c>
      <c r="N66" s="34">
        <f t="shared" ref="N66:N129" si="6">IFERROR(VALUE(LEFT(C66,2)),"")</f>
        <v>12</v>
      </c>
    </row>
    <row r="67" spans="1:14" x14ac:dyDescent="0.3">
      <c r="A67" s="33" t="s">
        <v>168</v>
      </c>
      <c r="B67" s="34" t="s">
        <v>146</v>
      </c>
      <c r="C67" s="38" t="s">
        <v>358</v>
      </c>
      <c r="D67" s="34" t="s">
        <v>30</v>
      </c>
      <c r="E67" s="34" t="s">
        <v>31</v>
      </c>
      <c r="F67" s="34">
        <v>1</v>
      </c>
      <c r="G67" s="34">
        <v>2511</v>
      </c>
      <c r="H67" s="34" t="s">
        <v>13</v>
      </c>
      <c r="I67" s="34" t="s">
        <v>65</v>
      </c>
      <c r="J67" s="34" t="s">
        <v>15</v>
      </c>
      <c r="K67" s="34" t="str">
        <f t="shared" si="4"/>
        <v>Delhi</v>
      </c>
      <c r="L67" t="str">
        <f t="shared" si="3"/>
        <v>Debit Card</v>
      </c>
      <c r="M67" s="34">
        <f t="shared" si="5"/>
        <v>2511</v>
      </c>
      <c r="N67" s="34">
        <f t="shared" si="6"/>
        <v>21</v>
      </c>
    </row>
    <row r="68" spans="1:14" x14ac:dyDescent="0.3">
      <c r="A68" s="31" t="s">
        <v>169</v>
      </c>
      <c r="B68" s="32" t="s">
        <v>166</v>
      </c>
      <c r="C68" s="37" t="s">
        <v>359</v>
      </c>
      <c r="D68" s="32" t="s">
        <v>22</v>
      </c>
      <c r="E68" s="32" t="s">
        <v>23</v>
      </c>
      <c r="F68" s="32" t="s">
        <v>12</v>
      </c>
      <c r="G68" s="32">
        <v>711</v>
      </c>
      <c r="H68" s="32" t="s">
        <v>19</v>
      </c>
      <c r="I68" s="32" t="s">
        <v>32</v>
      </c>
      <c r="J68" s="32" t="s">
        <v>21</v>
      </c>
      <c r="K68" s="34" t="str">
        <f t="shared" si="4"/>
        <v>Chennai</v>
      </c>
      <c r="L68" t="str">
        <f t="shared" ref="L68:L131" si="7">IF(UPPER(TRIM(I67))="UPI","UPI",PROPER(TRIM(I67)))</f>
        <v>Unknown</v>
      </c>
      <c r="M68" s="34">
        <f t="shared" si="5"/>
        <v>711</v>
      </c>
      <c r="N68" s="34">
        <f t="shared" si="6"/>
        <v>16</v>
      </c>
    </row>
    <row r="69" spans="1:14" x14ac:dyDescent="0.3">
      <c r="A69" s="33" t="s">
        <v>170</v>
      </c>
      <c r="B69" s="34" t="s">
        <v>78</v>
      </c>
      <c r="C69" s="38" t="s">
        <v>360</v>
      </c>
      <c r="D69" s="34" t="s">
        <v>36</v>
      </c>
      <c r="E69" s="34" t="s">
        <v>23</v>
      </c>
      <c r="F69" s="34">
        <v>2</v>
      </c>
      <c r="G69" s="34">
        <v>3511</v>
      </c>
      <c r="H69" s="34" t="s">
        <v>24</v>
      </c>
      <c r="I69" s="34" t="s">
        <v>25</v>
      </c>
      <c r="J69" s="34" t="s">
        <v>18</v>
      </c>
      <c r="K69" s="34" t="str">
        <f t="shared" si="4"/>
        <v>Pune</v>
      </c>
      <c r="L69" t="str">
        <f t="shared" si="7"/>
        <v>Net Banking</v>
      </c>
      <c r="M69" s="34">
        <f t="shared" si="5"/>
        <v>7022</v>
      </c>
      <c r="N69" s="34">
        <f t="shared" si="6"/>
        <v>29</v>
      </c>
    </row>
    <row r="70" spans="1:14" x14ac:dyDescent="0.3">
      <c r="A70" s="31" t="s">
        <v>171</v>
      </c>
      <c r="B70" s="32" t="s">
        <v>149</v>
      </c>
      <c r="C70" s="37" t="s">
        <v>361</v>
      </c>
      <c r="D70" s="32" t="s">
        <v>16</v>
      </c>
      <c r="E70" s="32" t="s">
        <v>11</v>
      </c>
      <c r="F70" s="32">
        <v>4</v>
      </c>
      <c r="G70" s="32">
        <v>61111</v>
      </c>
      <c r="H70" s="32" t="s">
        <v>67</v>
      </c>
      <c r="I70" s="32" t="s">
        <v>25</v>
      </c>
      <c r="J70" s="32" t="s">
        <v>65</v>
      </c>
      <c r="K70" s="34" t="str">
        <f t="shared" si="4"/>
        <v>Bangalore</v>
      </c>
      <c r="L70" t="str">
        <f t="shared" si="7"/>
        <v>Cash</v>
      </c>
      <c r="M70" s="34">
        <f t="shared" si="5"/>
        <v>244444</v>
      </c>
      <c r="N70" s="34">
        <f t="shared" si="6"/>
        <v>22</v>
      </c>
    </row>
    <row r="71" spans="1:14" x14ac:dyDescent="0.3">
      <c r="A71" s="33" t="s">
        <v>172</v>
      </c>
      <c r="B71" s="34" t="s">
        <v>173</v>
      </c>
      <c r="C71" s="38" t="s">
        <v>362</v>
      </c>
      <c r="D71" s="34" t="s">
        <v>10</v>
      </c>
      <c r="E71" s="34" t="s">
        <v>11</v>
      </c>
      <c r="F71" s="34">
        <v>2</v>
      </c>
      <c r="G71" s="34">
        <v>31111</v>
      </c>
      <c r="H71" s="34" t="s">
        <v>37</v>
      </c>
      <c r="I71" s="34" t="s">
        <v>32</v>
      </c>
      <c r="J71" s="34" t="s">
        <v>21</v>
      </c>
      <c r="K71" s="34" t="str">
        <f t="shared" si="4"/>
        <v>Jaipur</v>
      </c>
      <c r="L71" t="str">
        <f t="shared" si="7"/>
        <v>Cash</v>
      </c>
      <c r="M71" s="34">
        <f t="shared" si="5"/>
        <v>62222</v>
      </c>
      <c r="N71" s="34">
        <f t="shared" si="6"/>
        <v>15</v>
      </c>
    </row>
    <row r="72" spans="1:14" x14ac:dyDescent="0.3">
      <c r="A72" s="31" t="s">
        <v>172</v>
      </c>
      <c r="B72" s="32" t="s">
        <v>174</v>
      </c>
      <c r="C72" s="37" t="s">
        <v>317</v>
      </c>
      <c r="D72" s="32" t="s">
        <v>30</v>
      </c>
      <c r="E72" s="32" t="s">
        <v>31</v>
      </c>
      <c r="F72" s="32">
        <v>3</v>
      </c>
      <c r="G72" s="32">
        <v>2511</v>
      </c>
      <c r="H72" s="32" t="s">
        <v>37</v>
      </c>
      <c r="I72" s="32" t="s">
        <v>27</v>
      </c>
      <c r="J72" s="32" t="s">
        <v>18</v>
      </c>
      <c r="K72" s="34" t="str">
        <f t="shared" si="4"/>
        <v>Jaipur</v>
      </c>
      <c r="L72" t="str">
        <f t="shared" si="7"/>
        <v>Net Banking</v>
      </c>
      <c r="M72" s="34">
        <f t="shared" si="5"/>
        <v>7533</v>
      </c>
      <c r="N72" s="34">
        <f t="shared" si="6"/>
        <v>18</v>
      </c>
    </row>
    <row r="73" spans="1:14" x14ac:dyDescent="0.3">
      <c r="A73" s="33" t="s">
        <v>175</v>
      </c>
      <c r="B73" s="34" t="s">
        <v>123</v>
      </c>
      <c r="C73" s="38" t="s">
        <v>363</v>
      </c>
      <c r="D73" s="34" t="s">
        <v>16</v>
      </c>
      <c r="E73" s="34" t="s">
        <v>11</v>
      </c>
      <c r="F73" s="34">
        <v>3</v>
      </c>
      <c r="G73" s="34">
        <v>52111</v>
      </c>
      <c r="H73" s="34" t="s">
        <v>29</v>
      </c>
      <c r="I73" s="34" t="s">
        <v>32</v>
      </c>
      <c r="J73" s="34" t="s">
        <v>21</v>
      </c>
      <c r="K73" s="34" t="str">
        <f t="shared" si="4"/>
        <v>Kolkata</v>
      </c>
      <c r="L73" t="str">
        <f t="shared" si="7"/>
        <v>Debit Card</v>
      </c>
      <c r="M73" s="34">
        <f t="shared" si="5"/>
        <v>156333</v>
      </c>
      <c r="N73" s="34">
        <f t="shared" si="6"/>
        <v>19</v>
      </c>
    </row>
    <row r="74" spans="1:14" x14ac:dyDescent="0.3">
      <c r="A74" s="31" t="s">
        <v>176</v>
      </c>
      <c r="B74" s="32" t="s">
        <v>92</v>
      </c>
      <c r="C74" s="37" t="s">
        <v>364</v>
      </c>
      <c r="D74" s="32" t="s">
        <v>22</v>
      </c>
      <c r="E74" s="32" t="s">
        <v>23</v>
      </c>
      <c r="F74" s="32">
        <v>2</v>
      </c>
      <c r="G74" s="32">
        <v>711</v>
      </c>
      <c r="H74" s="32" t="s">
        <v>67</v>
      </c>
      <c r="I74" s="32" t="s">
        <v>25</v>
      </c>
      <c r="J74" s="32" t="s">
        <v>21</v>
      </c>
      <c r="K74" s="34" t="str">
        <f t="shared" si="4"/>
        <v>Bangalore</v>
      </c>
      <c r="L74" t="str">
        <f t="shared" si="7"/>
        <v>Net Banking</v>
      </c>
      <c r="M74" s="34">
        <f t="shared" si="5"/>
        <v>1422</v>
      </c>
      <c r="N74" s="34">
        <f t="shared" si="6"/>
        <v>14</v>
      </c>
    </row>
    <row r="75" spans="1:14" x14ac:dyDescent="0.3">
      <c r="A75" s="33" t="s">
        <v>177</v>
      </c>
      <c r="B75" s="34" t="s">
        <v>76</v>
      </c>
      <c r="C75" s="38" t="s">
        <v>354</v>
      </c>
      <c r="D75" s="34" t="s">
        <v>26</v>
      </c>
      <c r="E75" s="34" t="s">
        <v>11</v>
      </c>
      <c r="F75" s="34">
        <v>1</v>
      </c>
      <c r="G75" s="34">
        <v>22111</v>
      </c>
      <c r="H75" s="34" t="s">
        <v>29</v>
      </c>
      <c r="I75" s="34" t="s">
        <v>20</v>
      </c>
      <c r="J75" s="34" t="s">
        <v>21</v>
      </c>
      <c r="K75" s="34" t="str">
        <f t="shared" si="4"/>
        <v>Kolkata</v>
      </c>
      <c r="L75" t="str">
        <f t="shared" si="7"/>
        <v>Cash</v>
      </c>
      <c r="M75" s="34">
        <f t="shared" si="5"/>
        <v>22111</v>
      </c>
      <c r="N75" s="34">
        <f t="shared" si="6"/>
        <v>27</v>
      </c>
    </row>
    <row r="76" spans="1:14" x14ac:dyDescent="0.3">
      <c r="A76" s="31" t="s">
        <v>178</v>
      </c>
      <c r="B76" s="32" t="s">
        <v>179</v>
      </c>
      <c r="C76" s="37" t="s">
        <v>365</v>
      </c>
      <c r="D76" s="32" t="s">
        <v>28</v>
      </c>
      <c r="E76" s="32" t="s">
        <v>23</v>
      </c>
      <c r="F76" s="32">
        <v>4</v>
      </c>
      <c r="G76" s="32">
        <v>1811</v>
      </c>
      <c r="H76" s="32" t="s">
        <v>37</v>
      </c>
      <c r="I76" s="32" t="s">
        <v>20</v>
      </c>
      <c r="J76" s="32" t="s">
        <v>18</v>
      </c>
      <c r="K76" s="34" t="str">
        <f t="shared" si="4"/>
        <v>Jaipur</v>
      </c>
      <c r="L76" t="str">
        <f t="shared" si="7"/>
        <v>UPI</v>
      </c>
      <c r="M76" s="34">
        <f t="shared" si="5"/>
        <v>7244</v>
      </c>
      <c r="N76" s="34">
        <f t="shared" si="6"/>
        <v>11</v>
      </c>
    </row>
    <row r="77" spans="1:14" x14ac:dyDescent="0.3">
      <c r="A77" s="33" t="s">
        <v>180</v>
      </c>
      <c r="B77" s="34" t="s">
        <v>181</v>
      </c>
      <c r="C77" s="38" t="s">
        <v>366</v>
      </c>
      <c r="D77" s="34" t="s">
        <v>30</v>
      </c>
      <c r="E77" s="34" t="s">
        <v>31</v>
      </c>
      <c r="F77" s="34">
        <v>0</v>
      </c>
      <c r="G77" s="34">
        <v>4111</v>
      </c>
      <c r="H77" s="34" t="s">
        <v>13</v>
      </c>
      <c r="I77" s="34" t="s">
        <v>25</v>
      </c>
      <c r="J77" s="34" t="s">
        <v>21</v>
      </c>
      <c r="K77" s="34" t="str">
        <f t="shared" si="4"/>
        <v>Delhi</v>
      </c>
      <c r="L77" t="str">
        <f t="shared" si="7"/>
        <v>UPI</v>
      </c>
      <c r="M77" s="34">
        <f t="shared" si="5"/>
        <v>0</v>
      </c>
      <c r="N77" s="34">
        <f t="shared" si="6"/>
        <v>11</v>
      </c>
    </row>
    <row r="78" spans="1:14" x14ac:dyDescent="0.3">
      <c r="A78" s="31" t="s">
        <v>182</v>
      </c>
      <c r="B78" s="32" t="s">
        <v>183</v>
      </c>
      <c r="C78" s="37" t="s">
        <v>345</v>
      </c>
      <c r="D78" s="32" t="s">
        <v>34</v>
      </c>
      <c r="E78" s="32" t="s">
        <v>11</v>
      </c>
      <c r="F78" s="32">
        <v>3</v>
      </c>
      <c r="G78" s="32">
        <v>25111</v>
      </c>
      <c r="H78" s="32" t="s">
        <v>29</v>
      </c>
      <c r="I78" s="32" t="s">
        <v>20</v>
      </c>
      <c r="J78" s="32" t="s">
        <v>18</v>
      </c>
      <c r="K78" s="34" t="str">
        <f t="shared" si="4"/>
        <v>Kolkata</v>
      </c>
      <c r="L78" t="str">
        <f t="shared" si="7"/>
        <v>Cash</v>
      </c>
      <c r="M78" s="34">
        <f t="shared" si="5"/>
        <v>75333</v>
      </c>
      <c r="N78" s="34">
        <f t="shared" si="6"/>
        <v>18</v>
      </c>
    </row>
    <row r="79" spans="1:14" x14ac:dyDescent="0.3">
      <c r="A79" s="33" t="s">
        <v>184</v>
      </c>
      <c r="B79" s="34" t="s">
        <v>103</v>
      </c>
      <c r="C79" s="38" t="s">
        <v>367</v>
      </c>
      <c r="D79" s="34" t="s">
        <v>22</v>
      </c>
      <c r="E79" s="34" t="s">
        <v>23</v>
      </c>
      <c r="F79" s="34">
        <v>2</v>
      </c>
      <c r="G79" s="34">
        <v>411</v>
      </c>
      <c r="H79" s="34" t="s">
        <v>67</v>
      </c>
      <c r="I79" s="34" t="s">
        <v>20</v>
      </c>
      <c r="J79" s="34" t="s">
        <v>21</v>
      </c>
      <c r="K79" s="34" t="str">
        <f t="shared" si="4"/>
        <v>Bangalore</v>
      </c>
      <c r="L79" t="str">
        <f t="shared" si="7"/>
        <v>UPI</v>
      </c>
      <c r="M79" s="34">
        <f t="shared" si="5"/>
        <v>822</v>
      </c>
      <c r="N79" s="34">
        <f t="shared" si="6"/>
        <v>15</v>
      </c>
    </row>
    <row r="80" spans="1:14" x14ac:dyDescent="0.3">
      <c r="A80" s="31" t="s">
        <v>185</v>
      </c>
      <c r="B80" s="32" t="s">
        <v>132</v>
      </c>
      <c r="C80" s="37" t="s">
        <v>368</v>
      </c>
      <c r="D80" s="32" t="s">
        <v>28</v>
      </c>
      <c r="E80" s="32" t="s">
        <v>23</v>
      </c>
      <c r="F80" s="32">
        <v>2</v>
      </c>
      <c r="G80" s="32">
        <v>1811</v>
      </c>
      <c r="H80" s="32" t="s">
        <v>17</v>
      </c>
      <c r="I80" s="32" t="s">
        <v>20</v>
      </c>
      <c r="J80" s="32" t="s">
        <v>21</v>
      </c>
      <c r="K80" s="34" t="str">
        <f t="shared" si="4"/>
        <v>Mumbai</v>
      </c>
      <c r="L80" t="str">
        <f t="shared" si="7"/>
        <v>UPI</v>
      </c>
      <c r="M80" s="34">
        <f t="shared" si="5"/>
        <v>3622</v>
      </c>
      <c r="N80" s="34">
        <f t="shared" si="6"/>
        <v>14</v>
      </c>
    </row>
    <row r="81" spans="1:14" x14ac:dyDescent="0.3">
      <c r="A81" s="33" t="s">
        <v>186</v>
      </c>
      <c r="B81" s="34" t="s">
        <v>103</v>
      </c>
      <c r="C81" s="38" t="s">
        <v>354</v>
      </c>
      <c r="D81" s="34" t="s">
        <v>16</v>
      </c>
      <c r="E81" s="34" t="s">
        <v>11</v>
      </c>
      <c r="F81" s="34">
        <v>2</v>
      </c>
      <c r="G81" s="34">
        <v>45111</v>
      </c>
      <c r="H81" s="34" t="s">
        <v>19</v>
      </c>
      <c r="I81" s="34" t="s">
        <v>32</v>
      </c>
      <c r="J81" s="34" t="s">
        <v>15</v>
      </c>
      <c r="K81" s="34" t="str">
        <f t="shared" si="4"/>
        <v>Chennai</v>
      </c>
      <c r="L81" t="str">
        <f t="shared" si="7"/>
        <v>UPI</v>
      </c>
      <c r="M81" s="34">
        <f t="shared" si="5"/>
        <v>90222</v>
      </c>
      <c r="N81" s="34">
        <f t="shared" si="6"/>
        <v>27</v>
      </c>
    </row>
    <row r="82" spans="1:14" x14ac:dyDescent="0.3">
      <c r="A82" s="31" t="s">
        <v>186</v>
      </c>
      <c r="B82" s="32" t="s">
        <v>174</v>
      </c>
      <c r="C82" s="37" t="s">
        <v>369</v>
      </c>
      <c r="D82" s="32" t="s">
        <v>10</v>
      </c>
      <c r="E82" s="32" t="s">
        <v>11</v>
      </c>
      <c r="F82" s="32">
        <v>4</v>
      </c>
      <c r="G82" s="32">
        <v>31111</v>
      </c>
      <c r="H82" s="32" t="s">
        <v>37</v>
      </c>
      <c r="I82" s="32" t="s">
        <v>20</v>
      </c>
      <c r="J82" s="32" t="s">
        <v>18</v>
      </c>
      <c r="K82" s="34" t="str">
        <f t="shared" si="4"/>
        <v>Jaipur</v>
      </c>
      <c r="L82" t="str">
        <f t="shared" si="7"/>
        <v>Net Banking</v>
      </c>
      <c r="M82" s="34">
        <f t="shared" si="5"/>
        <v>124444</v>
      </c>
      <c r="N82" s="34">
        <f t="shared" si="6"/>
        <v>23</v>
      </c>
    </row>
    <row r="83" spans="1:14" x14ac:dyDescent="0.3">
      <c r="A83" s="33" t="s">
        <v>187</v>
      </c>
      <c r="B83" s="34" t="s">
        <v>72</v>
      </c>
      <c r="C83" s="38" t="s">
        <v>370</v>
      </c>
      <c r="D83" s="34" t="s">
        <v>34</v>
      </c>
      <c r="E83" s="34" t="s">
        <v>11</v>
      </c>
      <c r="F83" s="34">
        <v>4</v>
      </c>
      <c r="G83" s="34">
        <v>18111</v>
      </c>
      <c r="H83" s="34" t="s">
        <v>29</v>
      </c>
      <c r="I83" s="34" t="s">
        <v>25</v>
      </c>
      <c r="J83" s="34" t="s">
        <v>21</v>
      </c>
      <c r="K83" s="34" t="str">
        <f t="shared" si="4"/>
        <v>Kolkata</v>
      </c>
      <c r="L83" t="str">
        <f t="shared" si="7"/>
        <v>UPI</v>
      </c>
      <c r="M83" s="34">
        <f t="shared" si="5"/>
        <v>72444</v>
      </c>
      <c r="N83" s="34">
        <f t="shared" si="6"/>
        <v>16</v>
      </c>
    </row>
    <row r="84" spans="1:14" x14ac:dyDescent="0.3">
      <c r="A84" s="31" t="s">
        <v>188</v>
      </c>
      <c r="B84" s="32" t="s">
        <v>189</v>
      </c>
      <c r="C84" s="37" t="s">
        <v>371</v>
      </c>
      <c r="D84" s="32" t="s">
        <v>22</v>
      </c>
      <c r="E84" s="32" t="s">
        <v>23</v>
      </c>
      <c r="F84" s="32">
        <v>4</v>
      </c>
      <c r="G84" s="32">
        <v>1111</v>
      </c>
      <c r="H84" s="32" t="s">
        <v>29</v>
      </c>
      <c r="I84" s="32" t="s">
        <v>65</v>
      </c>
      <c r="J84" s="32" t="s">
        <v>65</v>
      </c>
      <c r="K84" s="34" t="str">
        <f t="shared" si="4"/>
        <v>Kolkata</v>
      </c>
      <c r="L84" t="str">
        <f t="shared" si="7"/>
        <v>Cash</v>
      </c>
      <c r="M84" s="34">
        <f t="shared" si="5"/>
        <v>4444</v>
      </c>
      <c r="N84" s="34">
        <f t="shared" si="6"/>
        <v>27</v>
      </c>
    </row>
    <row r="85" spans="1:14" x14ac:dyDescent="0.3">
      <c r="A85" s="33" t="s">
        <v>190</v>
      </c>
      <c r="B85" s="34" t="s">
        <v>162</v>
      </c>
      <c r="C85" s="38" t="s">
        <v>372</v>
      </c>
      <c r="D85" s="34" t="s">
        <v>34</v>
      </c>
      <c r="E85" s="34" t="s">
        <v>11</v>
      </c>
      <c r="F85" s="34">
        <v>1</v>
      </c>
      <c r="G85" s="34">
        <v>18111</v>
      </c>
      <c r="H85" s="34" t="s">
        <v>13</v>
      </c>
      <c r="I85" s="34" t="s">
        <v>20</v>
      </c>
      <c r="J85" s="34" t="s">
        <v>18</v>
      </c>
      <c r="K85" s="34" t="str">
        <f t="shared" si="4"/>
        <v>Delhi</v>
      </c>
      <c r="L85" t="str">
        <f t="shared" si="7"/>
        <v>Unknown</v>
      </c>
      <c r="M85" s="34">
        <f t="shared" si="5"/>
        <v>18111</v>
      </c>
      <c r="N85" s="34">
        <f t="shared" si="6"/>
        <v>14</v>
      </c>
    </row>
    <row r="86" spans="1:14" x14ac:dyDescent="0.3">
      <c r="A86" s="31" t="s">
        <v>191</v>
      </c>
      <c r="B86" s="32" t="s">
        <v>93</v>
      </c>
      <c r="C86" s="37" t="s">
        <v>354</v>
      </c>
      <c r="D86" s="32" t="s">
        <v>10</v>
      </c>
      <c r="E86" s="32" t="s">
        <v>11</v>
      </c>
      <c r="F86" s="32">
        <v>3</v>
      </c>
      <c r="G86" s="32">
        <v>15111</v>
      </c>
      <c r="H86" s="32" t="s">
        <v>24</v>
      </c>
      <c r="I86" s="32" t="s">
        <v>27</v>
      </c>
      <c r="J86" s="32" t="s">
        <v>15</v>
      </c>
      <c r="K86" s="34" t="str">
        <f t="shared" si="4"/>
        <v>Pune</v>
      </c>
      <c r="L86" t="str">
        <f t="shared" si="7"/>
        <v>UPI</v>
      </c>
      <c r="M86" s="34">
        <f t="shared" si="5"/>
        <v>45333</v>
      </c>
      <c r="N86" s="34">
        <f t="shared" si="6"/>
        <v>27</v>
      </c>
    </row>
    <row r="87" spans="1:14" x14ac:dyDescent="0.3">
      <c r="A87" s="33" t="s">
        <v>192</v>
      </c>
      <c r="B87" s="34" t="s">
        <v>82</v>
      </c>
      <c r="C87" s="38" t="s">
        <v>358</v>
      </c>
      <c r="D87" s="34" t="s">
        <v>28</v>
      </c>
      <c r="E87" s="34" t="s">
        <v>23</v>
      </c>
      <c r="F87" s="34">
        <v>0</v>
      </c>
      <c r="G87" s="34">
        <v>1211</v>
      </c>
      <c r="H87" s="34" t="s">
        <v>19</v>
      </c>
      <c r="I87" s="34" t="s">
        <v>38</v>
      </c>
      <c r="J87" s="34" t="s">
        <v>21</v>
      </c>
      <c r="K87" s="34" t="str">
        <f t="shared" si="4"/>
        <v>Chennai</v>
      </c>
      <c r="L87" t="str">
        <f t="shared" si="7"/>
        <v>Debit Card</v>
      </c>
      <c r="M87" s="34">
        <f t="shared" si="5"/>
        <v>0</v>
      </c>
      <c r="N87" s="34">
        <f t="shared" si="6"/>
        <v>21</v>
      </c>
    </row>
    <row r="88" spans="1:14" x14ac:dyDescent="0.3">
      <c r="A88" s="31" t="s">
        <v>193</v>
      </c>
      <c r="B88" s="32" t="s">
        <v>131</v>
      </c>
      <c r="C88" s="37" t="s">
        <v>373</v>
      </c>
      <c r="D88" s="32" t="s">
        <v>16</v>
      </c>
      <c r="E88" s="32" t="s">
        <v>11</v>
      </c>
      <c r="F88" s="32">
        <v>3</v>
      </c>
      <c r="G88" s="32">
        <v>45111</v>
      </c>
      <c r="H88" s="32" t="s">
        <v>19</v>
      </c>
      <c r="I88" s="32" t="s">
        <v>20</v>
      </c>
      <c r="J88" s="32" t="s">
        <v>15</v>
      </c>
      <c r="K88" s="34" t="str">
        <f t="shared" si="4"/>
        <v>Chennai</v>
      </c>
      <c r="L88" t="str">
        <f t="shared" si="7"/>
        <v>Credit Card</v>
      </c>
      <c r="M88" s="34">
        <f t="shared" si="5"/>
        <v>135333</v>
      </c>
      <c r="N88" s="34">
        <f t="shared" si="6"/>
        <v>13</v>
      </c>
    </row>
    <row r="89" spans="1:14" x14ac:dyDescent="0.3">
      <c r="A89" s="33" t="s">
        <v>194</v>
      </c>
      <c r="B89" s="34" t="s">
        <v>118</v>
      </c>
      <c r="C89" s="38" t="s">
        <v>374</v>
      </c>
      <c r="D89" s="34" t="s">
        <v>16</v>
      </c>
      <c r="E89" s="34" t="s">
        <v>11</v>
      </c>
      <c r="F89" s="34">
        <v>1</v>
      </c>
      <c r="G89" s="34">
        <v>52111</v>
      </c>
      <c r="H89" s="34" t="s">
        <v>13</v>
      </c>
      <c r="I89" s="34" t="s">
        <v>20</v>
      </c>
      <c r="J89" s="34" t="s">
        <v>15</v>
      </c>
      <c r="K89" s="34" t="str">
        <f t="shared" si="4"/>
        <v>Delhi</v>
      </c>
      <c r="L89" t="str">
        <f t="shared" si="7"/>
        <v>UPI</v>
      </c>
      <c r="M89" s="34">
        <f t="shared" si="5"/>
        <v>52111</v>
      </c>
      <c r="N89" s="34">
        <f t="shared" si="6"/>
        <v>16</v>
      </c>
    </row>
    <row r="90" spans="1:14" x14ac:dyDescent="0.3">
      <c r="A90" s="31" t="s">
        <v>195</v>
      </c>
      <c r="B90" s="32" t="s">
        <v>140</v>
      </c>
      <c r="C90" s="37" t="s">
        <v>340</v>
      </c>
      <c r="D90" s="32" t="s">
        <v>36</v>
      </c>
      <c r="E90" s="32" t="s">
        <v>23</v>
      </c>
      <c r="F90" s="32">
        <v>1</v>
      </c>
      <c r="G90" s="32">
        <v>3511</v>
      </c>
      <c r="H90" s="32" t="s">
        <v>13</v>
      </c>
      <c r="I90" s="32" t="s">
        <v>27</v>
      </c>
      <c r="J90" s="32" t="s">
        <v>18</v>
      </c>
      <c r="K90" s="34" t="str">
        <f t="shared" si="4"/>
        <v>Delhi</v>
      </c>
      <c r="L90" t="str">
        <f t="shared" si="7"/>
        <v>UPI</v>
      </c>
      <c r="M90" s="34">
        <f t="shared" si="5"/>
        <v>3511</v>
      </c>
      <c r="N90" s="34">
        <f t="shared" si="6"/>
        <v>21</v>
      </c>
    </row>
    <row r="91" spans="1:14" x14ac:dyDescent="0.3">
      <c r="A91" s="33" t="s">
        <v>196</v>
      </c>
      <c r="B91" s="34" t="s">
        <v>140</v>
      </c>
      <c r="C91" s="38" t="s">
        <v>375</v>
      </c>
      <c r="D91" s="34" t="s">
        <v>10</v>
      </c>
      <c r="E91" s="34" t="s">
        <v>11</v>
      </c>
      <c r="F91" s="34">
        <v>3</v>
      </c>
      <c r="G91" s="34">
        <v>31111</v>
      </c>
      <c r="H91" s="34" t="s">
        <v>17</v>
      </c>
      <c r="I91" s="34" t="s">
        <v>27</v>
      </c>
      <c r="J91" s="34" t="s">
        <v>18</v>
      </c>
      <c r="K91" s="34" t="str">
        <f t="shared" si="4"/>
        <v>Mumbai</v>
      </c>
      <c r="L91" t="str">
        <f t="shared" si="7"/>
        <v>Debit Card</v>
      </c>
      <c r="M91" s="34">
        <f t="shared" si="5"/>
        <v>93333</v>
      </c>
      <c r="N91" s="34">
        <f t="shared" si="6"/>
        <v>14</v>
      </c>
    </row>
    <row r="92" spans="1:14" x14ac:dyDescent="0.3">
      <c r="A92" s="31" t="s">
        <v>196</v>
      </c>
      <c r="B92" s="32" t="s">
        <v>197</v>
      </c>
      <c r="C92" s="37" t="s">
        <v>376</v>
      </c>
      <c r="D92" s="32" t="s">
        <v>26</v>
      </c>
      <c r="E92" s="32" t="s">
        <v>11</v>
      </c>
      <c r="F92" s="32">
        <v>1</v>
      </c>
      <c r="G92" s="32">
        <v>22111</v>
      </c>
      <c r="H92" s="32" t="s">
        <v>37</v>
      </c>
      <c r="I92" s="32" t="s">
        <v>25</v>
      </c>
      <c r="J92" s="32" t="s">
        <v>15</v>
      </c>
      <c r="K92" s="34" t="str">
        <f t="shared" si="4"/>
        <v>Jaipur</v>
      </c>
      <c r="L92" t="str">
        <f t="shared" si="7"/>
        <v>Debit Card</v>
      </c>
      <c r="M92" s="34">
        <f t="shared" si="5"/>
        <v>22111</v>
      </c>
      <c r="N92" s="34">
        <f t="shared" si="6"/>
        <v>16</v>
      </c>
    </row>
    <row r="93" spans="1:14" x14ac:dyDescent="0.3">
      <c r="A93" s="33" t="s">
        <v>198</v>
      </c>
      <c r="B93" s="34" t="s">
        <v>199</v>
      </c>
      <c r="C93" s="38" t="s">
        <v>377</v>
      </c>
      <c r="D93" s="34" t="s">
        <v>30</v>
      </c>
      <c r="E93" s="34" t="s">
        <v>31</v>
      </c>
      <c r="F93" s="34">
        <v>1</v>
      </c>
      <c r="G93" s="34">
        <v>999</v>
      </c>
      <c r="H93" s="34" t="s">
        <v>29</v>
      </c>
      <c r="I93" s="34" t="s">
        <v>14</v>
      </c>
      <c r="J93" s="34" t="s">
        <v>21</v>
      </c>
      <c r="K93" s="34" t="str">
        <f t="shared" si="4"/>
        <v>Kolkata</v>
      </c>
      <c r="L93" t="str">
        <f t="shared" si="7"/>
        <v>Cash</v>
      </c>
      <c r="M93" s="34">
        <f t="shared" si="5"/>
        <v>999</v>
      </c>
      <c r="N93" s="34">
        <f t="shared" si="6"/>
        <v>27</v>
      </c>
    </row>
    <row r="94" spans="1:14" x14ac:dyDescent="0.3">
      <c r="A94" s="31" t="s">
        <v>200</v>
      </c>
      <c r="B94" s="32" t="s">
        <v>143</v>
      </c>
      <c r="C94" s="37" t="s">
        <v>378</v>
      </c>
      <c r="D94" s="32" t="s">
        <v>30</v>
      </c>
      <c r="E94" s="32" t="s">
        <v>31</v>
      </c>
      <c r="F94" s="32">
        <v>3</v>
      </c>
      <c r="G94" s="32">
        <v>9111</v>
      </c>
      <c r="H94" s="32" t="s">
        <v>66</v>
      </c>
      <c r="I94" s="32" t="s">
        <v>14</v>
      </c>
      <c r="J94" s="32" t="s">
        <v>18</v>
      </c>
      <c r="K94" s="34" t="str">
        <f t="shared" si="4"/>
        <v>Mumbai</v>
      </c>
      <c r="L94" t="str">
        <f t="shared" si="7"/>
        <v>Credit Card</v>
      </c>
      <c r="M94" s="34">
        <f t="shared" si="5"/>
        <v>27333</v>
      </c>
      <c r="N94" s="34">
        <f t="shared" si="6"/>
        <v>18</v>
      </c>
    </row>
    <row r="95" spans="1:14" x14ac:dyDescent="0.3">
      <c r="A95" s="33" t="s">
        <v>201</v>
      </c>
      <c r="B95" s="34" t="s">
        <v>132</v>
      </c>
      <c r="C95" s="38" t="s">
        <v>370</v>
      </c>
      <c r="D95" s="34" t="s">
        <v>36</v>
      </c>
      <c r="E95" s="34" t="s">
        <v>23</v>
      </c>
      <c r="F95" s="34">
        <v>1</v>
      </c>
      <c r="G95" s="34">
        <v>2511</v>
      </c>
      <c r="H95" s="34" t="s">
        <v>67</v>
      </c>
      <c r="I95" s="34" t="s">
        <v>20</v>
      </c>
      <c r="J95" s="34" t="s">
        <v>21</v>
      </c>
      <c r="K95" s="34" t="str">
        <f t="shared" si="4"/>
        <v>Bangalore</v>
      </c>
      <c r="L95" t="str">
        <f t="shared" si="7"/>
        <v>Credit Card</v>
      </c>
      <c r="M95" s="34">
        <f t="shared" si="5"/>
        <v>2511</v>
      </c>
      <c r="N95" s="34">
        <f t="shared" si="6"/>
        <v>16</v>
      </c>
    </row>
    <row r="96" spans="1:14" x14ac:dyDescent="0.3">
      <c r="A96" s="31" t="s">
        <v>202</v>
      </c>
      <c r="B96" s="32" t="s">
        <v>97</v>
      </c>
      <c r="C96" s="37" t="s">
        <v>363</v>
      </c>
      <c r="D96" s="32" t="s">
        <v>36</v>
      </c>
      <c r="E96" s="32" t="s">
        <v>23</v>
      </c>
      <c r="F96" s="32">
        <v>1</v>
      </c>
      <c r="G96" s="32">
        <v>3511</v>
      </c>
      <c r="H96" s="32" t="s">
        <v>13</v>
      </c>
      <c r="I96" s="32" t="s">
        <v>25</v>
      </c>
      <c r="J96" s="32" t="s">
        <v>18</v>
      </c>
      <c r="K96" s="34" t="str">
        <f t="shared" si="4"/>
        <v>Delhi</v>
      </c>
      <c r="L96" t="str">
        <f t="shared" si="7"/>
        <v>UPI</v>
      </c>
      <c r="M96" s="34">
        <f t="shared" si="5"/>
        <v>3511</v>
      </c>
      <c r="N96" s="34">
        <f t="shared" si="6"/>
        <v>19</v>
      </c>
    </row>
    <row r="97" spans="1:14" x14ac:dyDescent="0.3">
      <c r="A97" s="33" t="s">
        <v>203</v>
      </c>
      <c r="B97" s="34" t="s">
        <v>93</v>
      </c>
      <c r="C97" s="38" t="s">
        <v>379</v>
      </c>
      <c r="D97" s="34" t="s">
        <v>22</v>
      </c>
      <c r="E97" s="34" t="s">
        <v>23</v>
      </c>
      <c r="F97" s="34">
        <v>3</v>
      </c>
      <c r="G97" s="34">
        <v>711</v>
      </c>
      <c r="H97" s="34" t="s">
        <v>13</v>
      </c>
      <c r="I97" s="34" t="s">
        <v>20</v>
      </c>
      <c r="J97" s="34" t="s">
        <v>21</v>
      </c>
      <c r="K97" s="34" t="str">
        <f t="shared" si="4"/>
        <v>Delhi</v>
      </c>
      <c r="L97" t="str">
        <f t="shared" si="7"/>
        <v>Cash</v>
      </c>
      <c r="M97" s="34">
        <f t="shared" si="5"/>
        <v>2133</v>
      </c>
      <c r="N97" s="34">
        <f t="shared" si="6"/>
        <v>18</v>
      </c>
    </row>
    <row r="98" spans="1:14" x14ac:dyDescent="0.3">
      <c r="A98" s="31" t="s">
        <v>204</v>
      </c>
      <c r="B98" s="32" t="s">
        <v>70</v>
      </c>
      <c r="C98" s="37" t="s">
        <v>331</v>
      </c>
      <c r="D98" s="32" t="s">
        <v>34</v>
      </c>
      <c r="E98" s="32" t="s">
        <v>11</v>
      </c>
      <c r="F98" s="32">
        <v>4</v>
      </c>
      <c r="G98" s="32">
        <v>18111</v>
      </c>
      <c r="H98" s="32" t="s">
        <v>29</v>
      </c>
      <c r="I98" s="32" t="s">
        <v>20</v>
      </c>
      <c r="J98" s="32" t="s">
        <v>21</v>
      </c>
      <c r="K98" s="34" t="str">
        <f t="shared" si="4"/>
        <v>Kolkata</v>
      </c>
      <c r="L98" t="str">
        <f t="shared" si="7"/>
        <v>UPI</v>
      </c>
      <c r="M98" s="34">
        <f t="shared" si="5"/>
        <v>72444</v>
      </c>
      <c r="N98" s="34">
        <f t="shared" si="6"/>
        <v>19</v>
      </c>
    </row>
    <row r="99" spans="1:14" x14ac:dyDescent="0.3">
      <c r="A99" s="33" t="s">
        <v>205</v>
      </c>
      <c r="B99" s="34" t="s">
        <v>197</v>
      </c>
      <c r="C99" s="38" t="s">
        <v>380</v>
      </c>
      <c r="D99" s="34" t="s">
        <v>36</v>
      </c>
      <c r="E99" s="34" t="s">
        <v>23</v>
      </c>
      <c r="F99" s="34">
        <v>1</v>
      </c>
      <c r="G99" s="34">
        <v>3511</v>
      </c>
      <c r="H99" s="34" t="s">
        <v>19</v>
      </c>
      <c r="I99" s="34" t="s">
        <v>27</v>
      </c>
      <c r="J99" s="34" t="s">
        <v>21</v>
      </c>
      <c r="K99" s="34" t="str">
        <f t="shared" si="4"/>
        <v>Chennai</v>
      </c>
      <c r="L99" t="str">
        <f t="shared" si="7"/>
        <v>UPI</v>
      </c>
      <c r="M99" s="34">
        <f t="shared" si="5"/>
        <v>3511</v>
      </c>
      <c r="N99" s="34">
        <f t="shared" si="6"/>
        <v>25</v>
      </c>
    </row>
    <row r="100" spans="1:14" x14ac:dyDescent="0.3">
      <c r="A100" s="31" t="s">
        <v>206</v>
      </c>
      <c r="B100" s="32" t="s">
        <v>111</v>
      </c>
      <c r="C100" s="37" t="s">
        <v>381</v>
      </c>
      <c r="D100" s="32" t="s">
        <v>16</v>
      </c>
      <c r="E100" s="32" t="s">
        <v>11</v>
      </c>
      <c r="F100" s="32">
        <v>3</v>
      </c>
      <c r="G100" s="32">
        <v>45111</v>
      </c>
      <c r="H100" s="32" t="s">
        <v>17</v>
      </c>
      <c r="I100" s="32" t="s">
        <v>27</v>
      </c>
      <c r="J100" s="32" t="s">
        <v>15</v>
      </c>
      <c r="K100" s="34" t="str">
        <f t="shared" si="4"/>
        <v>Mumbai</v>
      </c>
      <c r="L100" t="str">
        <f t="shared" si="7"/>
        <v>Debit Card</v>
      </c>
      <c r="M100" s="34">
        <f t="shared" si="5"/>
        <v>135333</v>
      </c>
      <c r="N100" s="34">
        <f t="shared" si="6"/>
        <v>13</v>
      </c>
    </row>
    <row r="101" spans="1:14" x14ac:dyDescent="0.3">
      <c r="A101" s="33" t="s">
        <v>69</v>
      </c>
      <c r="B101" s="34" t="s">
        <v>89</v>
      </c>
      <c r="C101" s="38" t="s">
        <v>327</v>
      </c>
      <c r="D101" s="34" t="s">
        <v>36</v>
      </c>
      <c r="E101" s="34" t="s">
        <v>23</v>
      </c>
      <c r="F101" s="34">
        <v>3</v>
      </c>
      <c r="G101" s="34">
        <v>1811</v>
      </c>
      <c r="H101" s="34" t="s">
        <v>17</v>
      </c>
      <c r="I101" s="34" t="s">
        <v>32</v>
      </c>
      <c r="J101" s="34" t="s">
        <v>15</v>
      </c>
      <c r="K101" s="34" t="str">
        <f t="shared" si="4"/>
        <v>Mumbai</v>
      </c>
      <c r="L101" t="str">
        <f t="shared" si="7"/>
        <v>Debit Card</v>
      </c>
      <c r="M101" s="34">
        <f t="shared" si="5"/>
        <v>5433</v>
      </c>
      <c r="N101" s="34">
        <f t="shared" si="6"/>
        <v>26</v>
      </c>
    </row>
    <row r="102" spans="1:14" x14ac:dyDescent="0.3">
      <c r="A102" s="31" t="s">
        <v>69</v>
      </c>
      <c r="B102" s="32" t="s">
        <v>179</v>
      </c>
      <c r="C102" s="37" t="s">
        <v>382</v>
      </c>
      <c r="D102" s="32" t="s">
        <v>34</v>
      </c>
      <c r="E102" s="32" t="s">
        <v>11</v>
      </c>
      <c r="F102" s="32">
        <v>3</v>
      </c>
      <c r="G102" s="32">
        <v>35111</v>
      </c>
      <c r="H102" s="32" t="s">
        <v>17</v>
      </c>
      <c r="I102" s="32" t="s">
        <v>20</v>
      </c>
      <c r="J102" s="32" t="s">
        <v>18</v>
      </c>
      <c r="K102" s="34" t="str">
        <f t="shared" si="4"/>
        <v>Mumbai</v>
      </c>
      <c r="L102" t="str">
        <f t="shared" si="7"/>
        <v>Net Banking</v>
      </c>
      <c r="M102" s="34">
        <f t="shared" si="5"/>
        <v>105333</v>
      </c>
      <c r="N102" s="34">
        <f t="shared" si="6"/>
        <v>26</v>
      </c>
    </row>
    <row r="103" spans="1:14" x14ac:dyDescent="0.3">
      <c r="A103" s="33" t="s">
        <v>71</v>
      </c>
      <c r="B103" s="34" t="s">
        <v>189</v>
      </c>
      <c r="C103" s="38" t="s">
        <v>383</v>
      </c>
      <c r="D103" s="34" t="s">
        <v>10</v>
      </c>
      <c r="E103" s="34" t="s">
        <v>11</v>
      </c>
      <c r="F103" s="34">
        <v>1</v>
      </c>
      <c r="G103" s="34">
        <v>22111</v>
      </c>
      <c r="H103" s="34" t="s">
        <v>29</v>
      </c>
      <c r="I103" s="34" t="s">
        <v>14</v>
      </c>
      <c r="J103" s="34" t="s">
        <v>18</v>
      </c>
      <c r="K103" s="34" t="str">
        <f t="shared" si="4"/>
        <v>Kolkata</v>
      </c>
      <c r="L103" t="str">
        <f t="shared" si="7"/>
        <v>UPI</v>
      </c>
      <c r="M103" s="34">
        <f t="shared" si="5"/>
        <v>22111</v>
      </c>
      <c r="N103" s="34">
        <f t="shared" si="6"/>
        <v>23</v>
      </c>
    </row>
    <row r="104" spans="1:14" x14ac:dyDescent="0.3">
      <c r="A104" s="31" t="s">
        <v>73</v>
      </c>
      <c r="B104" s="32" t="s">
        <v>118</v>
      </c>
      <c r="C104" s="37" t="s">
        <v>380</v>
      </c>
      <c r="D104" s="32" t="s">
        <v>22</v>
      </c>
      <c r="E104" s="32" t="s">
        <v>23</v>
      </c>
      <c r="F104" s="32">
        <v>4</v>
      </c>
      <c r="G104" s="32">
        <v>411</v>
      </c>
      <c r="H104" s="32" t="s">
        <v>19</v>
      </c>
      <c r="I104" s="32" t="s">
        <v>32</v>
      </c>
      <c r="J104" s="32" t="s">
        <v>21</v>
      </c>
      <c r="K104" s="34" t="str">
        <f t="shared" si="4"/>
        <v>Chennai</v>
      </c>
      <c r="L104" t="str">
        <f t="shared" si="7"/>
        <v>Credit Card</v>
      </c>
      <c r="M104" s="34">
        <f t="shared" si="5"/>
        <v>1644</v>
      </c>
      <c r="N104" s="34">
        <f t="shared" si="6"/>
        <v>25</v>
      </c>
    </row>
    <row r="105" spans="1:14" x14ac:dyDescent="0.3">
      <c r="A105" s="33" t="s">
        <v>75</v>
      </c>
      <c r="B105" s="34" t="s">
        <v>207</v>
      </c>
      <c r="C105" s="38" t="s">
        <v>384</v>
      </c>
      <c r="D105" s="34" t="s">
        <v>16</v>
      </c>
      <c r="E105" s="34" t="s">
        <v>11</v>
      </c>
      <c r="F105" s="34">
        <v>2</v>
      </c>
      <c r="G105" s="34">
        <v>25111</v>
      </c>
      <c r="H105" s="34" t="s">
        <v>13</v>
      </c>
      <c r="I105" s="34" t="s">
        <v>27</v>
      </c>
      <c r="J105" s="34" t="s">
        <v>15</v>
      </c>
      <c r="K105" s="34" t="str">
        <f t="shared" si="4"/>
        <v>Delhi</v>
      </c>
      <c r="L105" t="str">
        <f t="shared" si="7"/>
        <v>Net Banking</v>
      </c>
      <c r="M105" s="34">
        <f t="shared" si="5"/>
        <v>50222</v>
      </c>
      <c r="N105" s="34">
        <f t="shared" si="6"/>
        <v>31</v>
      </c>
    </row>
    <row r="106" spans="1:14" x14ac:dyDescent="0.3">
      <c r="A106" s="31" t="s">
        <v>77</v>
      </c>
      <c r="B106" s="32" t="s">
        <v>103</v>
      </c>
      <c r="C106" s="37" t="s">
        <v>366</v>
      </c>
      <c r="D106" s="32" t="s">
        <v>36</v>
      </c>
      <c r="E106" s="32" t="s">
        <v>23</v>
      </c>
      <c r="F106" s="32">
        <v>3</v>
      </c>
      <c r="G106" s="32">
        <v>3511</v>
      </c>
      <c r="H106" s="32" t="s">
        <v>19</v>
      </c>
      <c r="I106" s="32" t="s">
        <v>32</v>
      </c>
      <c r="J106" s="32" t="s">
        <v>18</v>
      </c>
      <c r="K106" s="34" t="str">
        <f t="shared" si="4"/>
        <v>Chennai</v>
      </c>
      <c r="L106" t="str">
        <f t="shared" si="7"/>
        <v>Debit Card</v>
      </c>
      <c r="M106" s="34">
        <f t="shared" si="5"/>
        <v>10533</v>
      </c>
      <c r="N106" s="34">
        <f t="shared" si="6"/>
        <v>11</v>
      </c>
    </row>
    <row r="107" spans="1:14" x14ac:dyDescent="0.3">
      <c r="A107" s="33" t="s">
        <v>79</v>
      </c>
      <c r="B107" s="34" t="s">
        <v>86</v>
      </c>
      <c r="C107" s="38" t="s">
        <v>385</v>
      </c>
      <c r="D107" s="34" t="s">
        <v>28</v>
      </c>
      <c r="E107" s="34" t="s">
        <v>23</v>
      </c>
      <c r="F107" s="34">
        <v>4</v>
      </c>
      <c r="G107" s="34">
        <v>711</v>
      </c>
      <c r="H107" s="34" t="s">
        <v>24</v>
      </c>
      <c r="I107" s="34" t="s">
        <v>25</v>
      </c>
      <c r="J107" s="34" t="s">
        <v>21</v>
      </c>
      <c r="K107" s="34" t="str">
        <f t="shared" si="4"/>
        <v>Pune</v>
      </c>
      <c r="L107" t="str">
        <f t="shared" si="7"/>
        <v>Net Banking</v>
      </c>
      <c r="M107" s="34">
        <f t="shared" si="5"/>
        <v>2844</v>
      </c>
      <c r="N107" s="34">
        <f t="shared" si="6"/>
        <v>12</v>
      </c>
    </row>
    <row r="108" spans="1:14" x14ac:dyDescent="0.3">
      <c r="A108" s="31" t="s">
        <v>81</v>
      </c>
      <c r="B108" s="32" t="s">
        <v>118</v>
      </c>
      <c r="C108" s="37" t="s">
        <v>386</v>
      </c>
      <c r="D108" s="32" t="s">
        <v>36</v>
      </c>
      <c r="E108" s="32" t="s">
        <v>23</v>
      </c>
      <c r="F108" s="32">
        <v>4</v>
      </c>
      <c r="G108" s="32">
        <v>1211</v>
      </c>
      <c r="H108" s="32" t="s">
        <v>24</v>
      </c>
      <c r="I108" s="32" t="s">
        <v>14</v>
      </c>
      <c r="J108" s="32" t="s">
        <v>18</v>
      </c>
      <c r="K108" s="34" t="str">
        <f t="shared" si="4"/>
        <v>Pune</v>
      </c>
      <c r="L108" t="str">
        <f t="shared" si="7"/>
        <v>Cash</v>
      </c>
      <c r="M108" s="34">
        <f t="shared" si="5"/>
        <v>4844</v>
      </c>
      <c r="N108" s="34">
        <f t="shared" si="6"/>
        <v>26</v>
      </c>
    </row>
    <row r="109" spans="1:14" x14ac:dyDescent="0.3">
      <c r="A109" s="33" t="s">
        <v>83</v>
      </c>
      <c r="B109" s="34" t="s">
        <v>208</v>
      </c>
      <c r="C109" s="38" t="s">
        <v>387</v>
      </c>
      <c r="D109" s="34" t="s">
        <v>10</v>
      </c>
      <c r="E109" s="34" t="s">
        <v>11</v>
      </c>
      <c r="F109" s="34">
        <v>1</v>
      </c>
      <c r="G109" s="34">
        <v>42111</v>
      </c>
      <c r="H109" s="34" t="s">
        <v>65</v>
      </c>
      <c r="I109" s="34" t="s">
        <v>20</v>
      </c>
      <c r="J109" s="34" t="s">
        <v>21</v>
      </c>
      <c r="K109" s="34" t="str">
        <f t="shared" si="4"/>
        <v>Unknown</v>
      </c>
      <c r="L109" t="str">
        <f t="shared" si="7"/>
        <v>Credit Card</v>
      </c>
      <c r="M109" s="34">
        <f t="shared" si="5"/>
        <v>42111</v>
      </c>
      <c r="N109" s="34">
        <f t="shared" si="6"/>
        <v>15</v>
      </c>
    </row>
    <row r="110" spans="1:14" x14ac:dyDescent="0.3">
      <c r="A110" s="31" t="s">
        <v>84</v>
      </c>
      <c r="B110" s="32" t="s">
        <v>74</v>
      </c>
      <c r="C110" s="37" t="s">
        <v>353</v>
      </c>
      <c r="D110" s="32" t="s">
        <v>26</v>
      </c>
      <c r="E110" s="32" t="s">
        <v>11</v>
      </c>
      <c r="F110" s="32">
        <v>2</v>
      </c>
      <c r="G110" s="32">
        <v>9111</v>
      </c>
      <c r="H110" s="32" t="s">
        <v>19</v>
      </c>
      <c r="I110" s="32" t="s">
        <v>27</v>
      </c>
      <c r="J110" s="32" t="s">
        <v>18</v>
      </c>
      <c r="K110" s="34" t="str">
        <f t="shared" si="4"/>
        <v>Chennai</v>
      </c>
      <c r="L110" t="str">
        <f t="shared" si="7"/>
        <v>UPI</v>
      </c>
      <c r="M110" s="34">
        <f t="shared" si="5"/>
        <v>18222</v>
      </c>
      <c r="N110" s="34">
        <f t="shared" si="6"/>
        <v>29</v>
      </c>
    </row>
    <row r="111" spans="1:14" x14ac:dyDescent="0.3">
      <c r="A111" s="33" t="s">
        <v>69</v>
      </c>
      <c r="B111" s="34" t="s">
        <v>209</v>
      </c>
      <c r="C111" s="38" t="s">
        <v>383</v>
      </c>
      <c r="D111" s="34" t="s">
        <v>16</v>
      </c>
      <c r="E111" s="34" t="s">
        <v>11</v>
      </c>
      <c r="F111" s="34">
        <v>3</v>
      </c>
      <c r="G111" s="34">
        <v>45111</v>
      </c>
      <c r="H111" s="34" t="s">
        <v>29</v>
      </c>
      <c r="I111" s="34" t="s">
        <v>14</v>
      </c>
      <c r="J111" s="34" t="s">
        <v>21</v>
      </c>
      <c r="K111" s="34" t="str">
        <f t="shared" si="4"/>
        <v>Kolkata</v>
      </c>
      <c r="L111" t="str">
        <f t="shared" si="7"/>
        <v>Debit Card</v>
      </c>
      <c r="M111" s="34">
        <f t="shared" si="5"/>
        <v>135333</v>
      </c>
      <c r="N111" s="34">
        <f t="shared" si="6"/>
        <v>23</v>
      </c>
    </row>
    <row r="112" spans="1:14" x14ac:dyDescent="0.3">
      <c r="A112" s="31" t="s">
        <v>69</v>
      </c>
      <c r="B112" s="32" t="s">
        <v>107</v>
      </c>
      <c r="C112" s="37" t="s">
        <v>383</v>
      </c>
      <c r="D112" s="32" t="s">
        <v>30</v>
      </c>
      <c r="E112" s="32" t="s">
        <v>31</v>
      </c>
      <c r="F112" s="32">
        <v>4</v>
      </c>
      <c r="G112" s="32">
        <v>4111</v>
      </c>
      <c r="H112" s="32" t="s">
        <v>37</v>
      </c>
      <c r="I112" s="32" t="s">
        <v>27</v>
      </c>
      <c r="J112" s="32" t="s">
        <v>18</v>
      </c>
      <c r="K112" s="34" t="str">
        <f t="shared" si="4"/>
        <v>Jaipur</v>
      </c>
      <c r="L112" t="str">
        <f t="shared" si="7"/>
        <v>Credit Card</v>
      </c>
      <c r="M112" s="34">
        <f t="shared" si="5"/>
        <v>16444</v>
      </c>
      <c r="N112" s="34">
        <f t="shared" si="6"/>
        <v>23</v>
      </c>
    </row>
    <row r="113" spans="1:14" x14ac:dyDescent="0.3">
      <c r="A113" s="33" t="s">
        <v>71</v>
      </c>
      <c r="B113" s="34" t="s">
        <v>183</v>
      </c>
      <c r="C113" s="38" t="s">
        <v>387</v>
      </c>
      <c r="D113" s="34" t="s">
        <v>34</v>
      </c>
      <c r="E113" s="34" t="s">
        <v>11</v>
      </c>
      <c r="F113" s="34">
        <v>4</v>
      </c>
      <c r="G113" s="34">
        <v>25111</v>
      </c>
      <c r="H113" s="34" t="s">
        <v>19</v>
      </c>
      <c r="I113" s="34" t="s">
        <v>25</v>
      </c>
      <c r="J113" s="34" t="s">
        <v>21</v>
      </c>
      <c r="K113" s="34" t="str">
        <f t="shared" si="4"/>
        <v>Chennai</v>
      </c>
      <c r="L113" t="str">
        <f t="shared" si="7"/>
        <v>Debit Card</v>
      </c>
      <c r="M113" s="34">
        <f t="shared" si="5"/>
        <v>100444</v>
      </c>
      <c r="N113" s="34">
        <f t="shared" si="6"/>
        <v>15</v>
      </c>
    </row>
    <row r="114" spans="1:14" x14ac:dyDescent="0.3">
      <c r="A114" s="31" t="s">
        <v>73</v>
      </c>
      <c r="B114" s="32" t="s">
        <v>118</v>
      </c>
      <c r="C114" s="37" t="s">
        <v>348</v>
      </c>
      <c r="D114" s="32" t="s">
        <v>30</v>
      </c>
      <c r="E114" s="32" t="s">
        <v>31</v>
      </c>
      <c r="F114" s="32">
        <v>4</v>
      </c>
      <c r="G114" s="32">
        <v>2511</v>
      </c>
      <c r="H114" s="32" t="s">
        <v>19</v>
      </c>
      <c r="I114" s="32" t="s">
        <v>32</v>
      </c>
      <c r="J114" s="32" t="s">
        <v>15</v>
      </c>
      <c r="K114" s="34" t="str">
        <f t="shared" si="4"/>
        <v>Chennai</v>
      </c>
      <c r="L114" t="str">
        <f t="shared" si="7"/>
        <v>Cash</v>
      </c>
      <c r="M114" s="34">
        <f t="shared" si="5"/>
        <v>10044</v>
      </c>
      <c r="N114" s="34">
        <f t="shared" si="6"/>
        <v>16</v>
      </c>
    </row>
    <row r="115" spans="1:14" x14ac:dyDescent="0.3">
      <c r="A115" s="33" t="s">
        <v>75</v>
      </c>
      <c r="B115" s="34" t="s">
        <v>155</v>
      </c>
      <c r="C115" s="38" t="s">
        <v>388</v>
      </c>
      <c r="D115" s="34" t="s">
        <v>22</v>
      </c>
      <c r="E115" s="34" t="s">
        <v>23</v>
      </c>
      <c r="F115" s="34">
        <v>3</v>
      </c>
      <c r="G115" s="34">
        <v>711</v>
      </c>
      <c r="H115" s="34" t="s">
        <v>35</v>
      </c>
      <c r="I115" s="34" t="s">
        <v>27</v>
      </c>
      <c r="J115" s="34" t="s">
        <v>18</v>
      </c>
      <c r="K115" s="34" t="str">
        <f t="shared" si="4"/>
        <v>Hyderabad</v>
      </c>
      <c r="L115" t="str">
        <f t="shared" si="7"/>
        <v>Net Banking</v>
      </c>
      <c r="M115" s="34">
        <f t="shared" si="5"/>
        <v>2133</v>
      </c>
      <c r="N115" s="34">
        <f t="shared" si="6"/>
        <v>27</v>
      </c>
    </row>
    <row r="116" spans="1:14" x14ac:dyDescent="0.3">
      <c r="A116" s="31" t="s">
        <v>77</v>
      </c>
      <c r="B116" s="32" t="s">
        <v>131</v>
      </c>
      <c r="C116" s="37" t="s">
        <v>329</v>
      </c>
      <c r="D116" s="32" t="s">
        <v>16</v>
      </c>
      <c r="E116" s="32" t="s">
        <v>11</v>
      </c>
      <c r="F116" s="32">
        <v>3</v>
      </c>
      <c r="G116" s="32">
        <v>68111</v>
      </c>
      <c r="H116" s="32" t="s">
        <v>35</v>
      </c>
      <c r="I116" s="32" t="s">
        <v>20</v>
      </c>
      <c r="J116" s="32" t="s">
        <v>15</v>
      </c>
      <c r="K116" s="34" t="str">
        <f t="shared" si="4"/>
        <v>Hyderabad</v>
      </c>
      <c r="L116" t="str">
        <f t="shared" si="7"/>
        <v>Debit Card</v>
      </c>
      <c r="M116" s="34">
        <f t="shared" si="5"/>
        <v>204333</v>
      </c>
      <c r="N116" s="34">
        <f t="shared" si="6"/>
        <v>16</v>
      </c>
    </row>
    <row r="117" spans="1:14" x14ac:dyDescent="0.3">
      <c r="A117" s="33" t="s">
        <v>79</v>
      </c>
      <c r="B117" s="34" t="s">
        <v>97</v>
      </c>
      <c r="C117" s="38" t="s">
        <v>389</v>
      </c>
      <c r="D117" s="34" t="s">
        <v>10</v>
      </c>
      <c r="E117" s="34" t="s">
        <v>11</v>
      </c>
      <c r="F117" s="34">
        <v>2</v>
      </c>
      <c r="G117" s="34">
        <v>31111</v>
      </c>
      <c r="H117" s="34" t="s">
        <v>13</v>
      </c>
      <c r="I117" s="34" t="s">
        <v>32</v>
      </c>
      <c r="J117" s="34" t="s">
        <v>15</v>
      </c>
      <c r="K117" s="34" t="str">
        <f t="shared" si="4"/>
        <v>Delhi</v>
      </c>
      <c r="L117" t="str">
        <f t="shared" si="7"/>
        <v>UPI</v>
      </c>
      <c r="M117" s="34">
        <f t="shared" si="5"/>
        <v>62222</v>
      </c>
      <c r="N117" s="34">
        <f t="shared" si="6"/>
        <v>11</v>
      </c>
    </row>
    <row r="118" spans="1:14" x14ac:dyDescent="0.3">
      <c r="A118" s="31" t="s">
        <v>81</v>
      </c>
      <c r="B118" s="32" t="s">
        <v>74</v>
      </c>
      <c r="C118" s="37" t="s">
        <v>362</v>
      </c>
      <c r="D118" s="32" t="s">
        <v>26</v>
      </c>
      <c r="E118" s="32" t="s">
        <v>11</v>
      </c>
      <c r="F118" s="32">
        <v>4</v>
      </c>
      <c r="G118" s="32">
        <v>12111</v>
      </c>
      <c r="H118" s="32" t="s">
        <v>24</v>
      </c>
      <c r="I118" s="32" t="s">
        <v>27</v>
      </c>
      <c r="J118" s="32" t="s">
        <v>21</v>
      </c>
      <c r="K118" s="34" t="str">
        <f t="shared" si="4"/>
        <v>Pune</v>
      </c>
      <c r="L118" t="str">
        <f t="shared" si="7"/>
        <v>Net Banking</v>
      </c>
      <c r="M118" s="34">
        <f t="shared" si="5"/>
        <v>48444</v>
      </c>
      <c r="N118" s="34">
        <f t="shared" si="6"/>
        <v>15</v>
      </c>
    </row>
    <row r="119" spans="1:14" x14ac:dyDescent="0.3">
      <c r="A119" s="33" t="s">
        <v>83</v>
      </c>
      <c r="B119" s="34" t="s">
        <v>162</v>
      </c>
      <c r="C119" s="38" t="s">
        <v>348</v>
      </c>
      <c r="D119" s="34" t="s">
        <v>30</v>
      </c>
      <c r="E119" s="34" t="s">
        <v>31</v>
      </c>
      <c r="F119" s="34">
        <v>2</v>
      </c>
      <c r="G119" s="34">
        <v>4111</v>
      </c>
      <c r="H119" s="34" t="s">
        <v>65</v>
      </c>
      <c r="I119" s="34" t="s">
        <v>27</v>
      </c>
      <c r="J119" s="34" t="s">
        <v>21</v>
      </c>
      <c r="K119" s="34" t="str">
        <f t="shared" si="4"/>
        <v>Unknown</v>
      </c>
      <c r="L119" t="str">
        <f t="shared" si="7"/>
        <v>Debit Card</v>
      </c>
      <c r="M119" s="34">
        <f t="shared" si="5"/>
        <v>8222</v>
      </c>
      <c r="N119" s="34">
        <f t="shared" si="6"/>
        <v>16</v>
      </c>
    </row>
    <row r="120" spans="1:14" x14ac:dyDescent="0.3">
      <c r="A120" s="31" t="s">
        <v>84</v>
      </c>
      <c r="B120" s="32" t="s">
        <v>210</v>
      </c>
      <c r="C120" s="37" t="s">
        <v>322</v>
      </c>
      <c r="D120" s="32" t="s">
        <v>10</v>
      </c>
      <c r="E120" s="32" t="s">
        <v>11</v>
      </c>
      <c r="F120" s="32">
        <v>3</v>
      </c>
      <c r="G120" s="32">
        <v>22111</v>
      </c>
      <c r="H120" s="32" t="s">
        <v>35</v>
      </c>
      <c r="I120" s="32" t="s">
        <v>20</v>
      </c>
      <c r="J120" s="32" t="s">
        <v>18</v>
      </c>
      <c r="K120" s="34" t="str">
        <f t="shared" si="4"/>
        <v>Hyderabad</v>
      </c>
      <c r="L120" t="str">
        <f t="shared" si="7"/>
        <v>Debit Card</v>
      </c>
      <c r="M120" s="34">
        <f t="shared" si="5"/>
        <v>66333</v>
      </c>
      <c r="N120" s="34">
        <f t="shared" si="6"/>
        <v>13</v>
      </c>
    </row>
    <row r="121" spans="1:14" x14ac:dyDescent="0.3">
      <c r="A121" s="33" t="s">
        <v>95</v>
      </c>
      <c r="B121" s="34" t="s">
        <v>118</v>
      </c>
      <c r="C121" s="38" t="s">
        <v>390</v>
      </c>
      <c r="D121" s="34" t="s">
        <v>26</v>
      </c>
      <c r="E121" s="34" t="s">
        <v>11</v>
      </c>
      <c r="F121" s="34">
        <v>4</v>
      </c>
      <c r="G121" s="34">
        <v>22111</v>
      </c>
      <c r="H121" s="34" t="s">
        <v>17</v>
      </c>
      <c r="I121" s="34" t="s">
        <v>27</v>
      </c>
      <c r="J121" s="34" t="s">
        <v>21</v>
      </c>
      <c r="K121" s="34" t="str">
        <f t="shared" si="4"/>
        <v>Mumbai</v>
      </c>
      <c r="L121" t="str">
        <f t="shared" si="7"/>
        <v>UPI</v>
      </c>
      <c r="M121" s="34">
        <f t="shared" si="5"/>
        <v>88444</v>
      </c>
      <c r="N121" s="34">
        <f t="shared" si="6"/>
        <v>22</v>
      </c>
    </row>
    <row r="122" spans="1:14" x14ac:dyDescent="0.3">
      <c r="A122" s="31" t="s">
        <v>95</v>
      </c>
      <c r="B122" s="32" t="s">
        <v>179</v>
      </c>
      <c r="C122" s="37" t="s">
        <v>391</v>
      </c>
      <c r="D122" s="32" t="s">
        <v>10</v>
      </c>
      <c r="E122" s="32" t="s">
        <v>11</v>
      </c>
      <c r="F122" s="32">
        <v>4</v>
      </c>
      <c r="G122" s="32">
        <v>31111</v>
      </c>
      <c r="H122" s="32" t="s">
        <v>13</v>
      </c>
      <c r="I122" s="32" t="s">
        <v>32</v>
      </c>
      <c r="J122" s="32" t="s">
        <v>15</v>
      </c>
      <c r="K122" s="34" t="str">
        <f t="shared" si="4"/>
        <v>Delhi</v>
      </c>
      <c r="L122" t="str">
        <f t="shared" si="7"/>
        <v>Debit Card</v>
      </c>
      <c r="M122" s="34">
        <f t="shared" si="5"/>
        <v>124444</v>
      </c>
      <c r="N122" s="34">
        <f t="shared" si="6"/>
        <v>15</v>
      </c>
    </row>
    <row r="123" spans="1:14" x14ac:dyDescent="0.3">
      <c r="A123" s="33" t="s">
        <v>98</v>
      </c>
      <c r="B123" s="34" t="s">
        <v>211</v>
      </c>
      <c r="C123" s="38" t="s">
        <v>392</v>
      </c>
      <c r="D123" s="34" t="s">
        <v>22</v>
      </c>
      <c r="E123" s="34" t="s">
        <v>23</v>
      </c>
      <c r="F123" s="34">
        <v>2</v>
      </c>
      <c r="G123" s="34">
        <v>1111</v>
      </c>
      <c r="H123" s="34" t="s">
        <v>24</v>
      </c>
      <c r="I123" s="34" t="s">
        <v>14</v>
      </c>
      <c r="J123" s="34" t="s">
        <v>21</v>
      </c>
      <c r="K123" s="34" t="str">
        <f t="shared" si="4"/>
        <v>Pune</v>
      </c>
      <c r="L123" t="str">
        <f t="shared" si="7"/>
        <v>Net Banking</v>
      </c>
      <c r="M123" s="34">
        <f t="shared" si="5"/>
        <v>2222</v>
      </c>
      <c r="N123" s="34">
        <f t="shared" si="6"/>
        <v>11</v>
      </c>
    </row>
    <row r="124" spans="1:14" x14ac:dyDescent="0.3">
      <c r="A124" s="31" t="s">
        <v>100</v>
      </c>
      <c r="B124" s="32" t="s">
        <v>74</v>
      </c>
      <c r="C124" s="37" t="s">
        <v>393</v>
      </c>
      <c r="D124" s="32" t="s">
        <v>22</v>
      </c>
      <c r="E124" s="32" t="s">
        <v>23</v>
      </c>
      <c r="F124" s="32">
        <v>1</v>
      </c>
      <c r="G124" s="32">
        <v>1111</v>
      </c>
      <c r="H124" s="32" t="s">
        <v>24</v>
      </c>
      <c r="I124" s="32" t="s">
        <v>14</v>
      </c>
      <c r="J124" s="32" t="s">
        <v>21</v>
      </c>
      <c r="K124" s="34" t="str">
        <f t="shared" si="4"/>
        <v>Pune</v>
      </c>
      <c r="L124" t="str">
        <f t="shared" si="7"/>
        <v>Credit Card</v>
      </c>
      <c r="M124" s="34">
        <f t="shared" si="5"/>
        <v>1111</v>
      </c>
      <c r="N124" s="34">
        <f t="shared" si="6"/>
        <v>11</v>
      </c>
    </row>
    <row r="125" spans="1:14" x14ac:dyDescent="0.3">
      <c r="A125" s="33" t="s">
        <v>102</v>
      </c>
      <c r="B125" s="34" t="s">
        <v>155</v>
      </c>
      <c r="C125" s="38" t="s">
        <v>325</v>
      </c>
      <c r="D125" s="34" t="s">
        <v>34</v>
      </c>
      <c r="E125" s="34" t="s">
        <v>11</v>
      </c>
      <c r="F125" s="34">
        <v>1</v>
      </c>
      <c r="G125" s="34">
        <v>25111</v>
      </c>
      <c r="H125" s="34" t="s">
        <v>37</v>
      </c>
      <c r="I125" s="34" t="s">
        <v>14</v>
      </c>
      <c r="J125" s="34" t="s">
        <v>18</v>
      </c>
      <c r="K125" s="34" t="str">
        <f t="shared" si="4"/>
        <v>Jaipur</v>
      </c>
      <c r="L125" t="str">
        <f t="shared" si="7"/>
        <v>Credit Card</v>
      </c>
      <c r="M125" s="34">
        <f t="shared" si="5"/>
        <v>25111</v>
      </c>
      <c r="N125" s="34">
        <f t="shared" si="6"/>
        <v>17</v>
      </c>
    </row>
    <row r="126" spans="1:14" x14ac:dyDescent="0.3">
      <c r="A126" s="31" t="s">
        <v>104</v>
      </c>
      <c r="B126" s="32" t="s">
        <v>103</v>
      </c>
      <c r="C126" s="37" t="s">
        <v>394</v>
      </c>
      <c r="D126" s="32" t="s">
        <v>34</v>
      </c>
      <c r="E126" s="32" t="s">
        <v>11</v>
      </c>
      <c r="F126" s="32">
        <v>4</v>
      </c>
      <c r="G126" s="32">
        <v>25111</v>
      </c>
      <c r="H126" s="32" t="s">
        <v>29</v>
      </c>
      <c r="I126" s="32" t="s">
        <v>65</v>
      </c>
      <c r="J126" s="32" t="s">
        <v>21</v>
      </c>
      <c r="K126" s="34" t="str">
        <f t="shared" si="4"/>
        <v>Kolkata</v>
      </c>
      <c r="L126" t="str">
        <f t="shared" si="7"/>
        <v>Credit Card</v>
      </c>
      <c r="M126" s="34">
        <f t="shared" si="5"/>
        <v>100444</v>
      </c>
      <c r="N126" s="34">
        <f t="shared" si="6"/>
        <v>24</v>
      </c>
    </row>
    <row r="127" spans="1:14" x14ac:dyDescent="0.3">
      <c r="A127" s="33" t="s">
        <v>106</v>
      </c>
      <c r="B127" s="34" t="s">
        <v>208</v>
      </c>
      <c r="C127" s="38" t="s">
        <v>327</v>
      </c>
      <c r="D127" s="34" t="s">
        <v>10</v>
      </c>
      <c r="E127" s="34" t="s">
        <v>11</v>
      </c>
      <c r="F127" s="34">
        <v>3</v>
      </c>
      <c r="G127" s="34">
        <v>42111</v>
      </c>
      <c r="H127" s="34" t="s">
        <v>19</v>
      </c>
      <c r="I127" s="34" t="s">
        <v>32</v>
      </c>
      <c r="J127" s="34" t="s">
        <v>18</v>
      </c>
      <c r="K127" s="34" t="str">
        <f t="shared" si="4"/>
        <v>Chennai</v>
      </c>
      <c r="L127" t="str">
        <f t="shared" si="7"/>
        <v>Unknown</v>
      </c>
      <c r="M127" s="34">
        <f t="shared" si="5"/>
        <v>126333</v>
      </c>
      <c r="N127" s="34">
        <f t="shared" si="6"/>
        <v>26</v>
      </c>
    </row>
    <row r="128" spans="1:14" x14ac:dyDescent="0.3">
      <c r="A128" s="31" t="s">
        <v>108</v>
      </c>
      <c r="B128" s="32" t="s">
        <v>199</v>
      </c>
      <c r="C128" s="37" t="s">
        <v>395</v>
      </c>
      <c r="D128" s="32" t="s">
        <v>28</v>
      </c>
      <c r="E128" s="32" t="s">
        <v>23</v>
      </c>
      <c r="F128" s="32">
        <v>2</v>
      </c>
      <c r="G128" s="32">
        <v>711</v>
      </c>
      <c r="H128" s="32" t="s">
        <v>13</v>
      </c>
      <c r="I128" s="32" t="s">
        <v>25</v>
      </c>
      <c r="J128" s="32" t="s">
        <v>21</v>
      </c>
      <c r="K128" s="34" t="str">
        <f t="shared" si="4"/>
        <v>Delhi</v>
      </c>
      <c r="L128" t="str">
        <f t="shared" si="7"/>
        <v>Net Banking</v>
      </c>
      <c r="M128" s="34">
        <f t="shared" si="5"/>
        <v>1422</v>
      </c>
      <c r="N128" s="34">
        <f t="shared" si="6"/>
        <v>12</v>
      </c>
    </row>
    <row r="129" spans="1:14" x14ac:dyDescent="0.3">
      <c r="A129" s="33" t="s">
        <v>110</v>
      </c>
      <c r="B129" s="34" t="s">
        <v>162</v>
      </c>
      <c r="C129" s="38" t="s">
        <v>314</v>
      </c>
      <c r="D129" s="34" t="s">
        <v>30</v>
      </c>
      <c r="E129" s="34" t="s">
        <v>31</v>
      </c>
      <c r="F129" s="34">
        <v>2</v>
      </c>
      <c r="G129" s="34">
        <v>6511</v>
      </c>
      <c r="H129" s="34" t="s">
        <v>13</v>
      </c>
      <c r="I129" s="34" t="s">
        <v>25</v>
      </c>
      <c r="J129" s="34" t="s">
        <v>15</v>
      </c>
      <c r="K129" s="34" t="str">
        <f t="shared" si="4"/>
        <v>Delhi</v>
      </c>
      <c r="L129" t="str">
        <f t="shared" si="7"/>
        <v>Cash</v>
      </c>
      <c r="M129" s="34">
        <f t="shared" si="5"/>
        <v>13022</v>
      </c>
      <c r="N129" s="34">
        <f t="shared" si="6"/>
        <v>12</v>
      </c>
    </row>
    <row r="130" spans="1:14" x14ac:dyDescent="0.3">
      <c r="A130" s="31" t="s">
        <v>112</v>
      </c>
      <c r="B130" s="32" t="s">
        <v>197</v>
      </c>
      <c r="C130" s="37" t="s">
        <v>325</v>
      </c>
      <c r="D130" s="32" t="s">
        <v>22</v>
      </c>
      <c r="E130" s="32" t="s">
        <v>23</v>
      </c>
      <c r="F130" s="32">
        <v>3</v>
      </c>
      <c r="G130" s="32">
        <v>411</v>
      </c>
      <c r="H130" s="32" t="s">
        <v>35</v>
      </c>
      <c r="I130" s="32" t="s">
        <v>32</v>
      </c>
      <c r="J130" s="32" t="s">
        <v>18</v>
      </c>
      <c r="K130" s="34" t="str">
        <f t="shared" ref="K130:K193" si="8">PROPER(TRIM(H130))</f>
        <v>Hyderabad</v>
      </c>
      <c r="L130" t="str">
        <f t="shared" si="7"/>
        <v>Cash</v>
      </c>
      <c r="M130" s="34">
        <f t="shared" ref="M130:M193" si="9">IFERROR(F130*G130,0)</f>
        <v>1233</v>
      </c>
      <c r="N130" s="34">
        <f t="shared" ref="N130:N193" si="10">IFERROR(VALUE(LEFT(C130,2)),"")</f>
        <v>17</v>
      </c>
    </row>
    <row r="131" spans="1:14" x14ac:dyDescent="0.3">
      <c r="A131" s="33" t="s">
        <v>114</v>
      </c>
      <c r="B131" s="34" t="s">
        <v>109</v>
      </c>
      <c r="C131" s="38" t="s">
        <v>362</v>
      </c>
      <c r="D131" s="34" t="s">
        <v>10</v>
      </c>
      <c r="E131" s="34" t="s">
        <v>11</v>
      </c>
      <c r="F131" s="34">
        <v>2</v>
      </c>
      <c r="G131" s="34">
        <v>42111</v>
      </c>
      <c r="H131" s="34" t="s">
        <v>19</v>
      </c>
      <c r="I131" s="34" t="s">
        <v>32</v>
      </c>
      <c r="J131" s="34" t="s">
        <v>15</v>
      </c>
      <c r="K131" s="34" t="str">
        <f t="shared" si="8"/>
        <v>Chennai</v>
      </c>
      <c r="L131" t="str">
        <f t="shared" si="7"/>
        <v>Net Banking</v>
      </c>
      <c r="M131" s="34">
        <f t="shared" si="9"/>
        <v>84222</v>
      </c>
      <c r="N131" s="34">
        <f t="shared" si="10"/>
        <v>15</v>
      </c>
    </row>
    <row r="132" spans="1:14" x14ac:dyDescent="0.3">
      <c r="A132" s="31" t="s">
        <v>114</v>
      </c>
      <c r="B132" s="32" t="s">
        <v>96</v>
      </c>
      <c r="C132" s="37" t="s">
        <v>320</v>
      </c>
      <c r="D132" s="32" t="s">
        <v>16</v>
      </c>
      <c r="E132" s="32" t="s">
        <v>11</v>
      </c>
      <c r="F132" s="32">
        <v>1</v>
      </c>
      <c r="G132" s="32">
        <v>52111</v>
      </c>
      <c r="H132" s="32" t="s">
        <v>17</v>
      </c>
      <c r="I132" s="32" t="s">
        <v>25</v>
      </c>
      <c r="J132" s="32" t="s">
        <v>21</v>
      </c>
      <c r="K132" s="34" t="str">
        <f t="shared" si="8"/>
        <v>Mumbai</v>
      </c>
      <c r="L132" t="str">
        <f t="shared" ref="L132:L195" si="11">IF(UPPER(TRIM(I131))="UPI","UPI",PROPER(TRIM(I131)))</f>
        <v>Net Banking</v>
      </c>
      <c r="M132" s="34">
        <f t="shared" si="9"/>
        <v>52111</v>
      </c>
      <c r="N132" s="34">
        <f t="shared" si="10"/>
        <v>11</v>
      </c>
    </row>
    <row r="133" spans="1:14" x14ac:dyDescent="0.3">
      <c r="A133" s="33" t="s">
        <v>116</v>
      </c>
      <c r="B133" s="34" t="s">
        <v>96</v>
      </c>
      <c r="C133" s="38" t="s">
        <v>327</v>
      </c>
      <c r="D133" s="34" t="s">
        <v>22</v>
      </c>
      <c r="E133" s="34" t="s">
        <v>23</v>
      </c>
      <c r="F133" s="34">
        <v>3</v>
      </c>
      <c r="G133" s="34">
        <v>711</v>
      </c>
      <c r="H133" s="34" t="s">
        <v>37</v>
      </c>
      <c r="I133" s="34" t="s">
        <v>32</v>
      </c>
      <c r="J133" s="34" t="s">
        <v>18</v>
      </c>
      <c r="K133" s="34" t="str">
        <f t="shared" si="8"/>
        <v>Jaipur</v>
      </c>
      <c r="L133" t="str">
        <f t="shared" si="11"/>
        <v>Cash</v>
      </c>
      <c r="M133" s="34">
        <f t="shared" si="9"/>
        <v>2133</v>
      </c>
      <c r="N133" s="34">
        <f t="shared" si="10"/>
        <v>26</v>
      </c>
    </row>
    <row r="134" spans="1:14" x14ac:dyDescent="0.3">
      <c r="A134" s="31" t="s">
        <v>117</v>
      </c>
      <c r="B134" s="32" t="s">
        <v>212</v>
      </c>
      <c r="C134" s="37" t="s">
        <v>312</v>
      </c>
      <c r="D134" s="32" t="s">
        <v>22</v>
      </c>
      <c r="E134" s="32" t="s">
        <v>23</v>
      </c>
      <c r="F134" s="32">
        <v>2</v>
      </c>
      <c r="G134" s="32">
        <v>1111</v>
      </c>
      <c r="H134" s="32" t="s">
        <v>64</v>
      </c>
      <c r="I134" s="32" t="s">
        <v>14</v>
      </c>
      <c r="J134" s="32" t="s">
        <v>15</v>
      </c>
      <c r="K134" s="34" t="str">
        <f t="shared" si="8"/>
        <v>Jaipur</v>
      </c>
      <c r="L134" t="str">
        <f t="shared" si="11"/>
        <v>Net Banking</v>
      </c>
      <c r="M134" s="34">
        <f t="shared" si="9"/>
        <v>2222</v>
      </c>
      <c r="N134" s="34">
        <f t="shared" si="10"/>
        <v>17</v>
      </c>
    </row>
    <row r="135" spans="1:14" x14ac:dyDescent="0.3">
      <c r="A135" s="33" t="s">
        <v>119</v>
      </c>
      <c r="B135" s="34" t="s">
        <v>179</v>
      </c>
      <c r="C135" s="38" t="s">
        <v>350</v>
      </c>
      <c r="D135" s="34" t="s">
        <v>30</v>
      </c>
      <c r="E135" s="34" t="s">
        <v>31</v>
      </c>
      <c r="F135" s="34">
        <v>3</v>
      </c>
      <c r="G135" s="34">
        <v>2511</v>
      </c>
      <c r="H135" s="34" t="s">
        <v>67</v>
      </c>
      <c r="I135" s="34" t="s">
        <v>32</v>
      </c>
      <c r="J135" s="34" t="s">
        <v>18</v>
      </c>
      <c r="K135" s="34" t="str">
        <f t="shared" si="8"/>
        <v>Bangalore</v>
      </c>
      <c r="L135" t="str">
        <f t="shared" si="11"/>
        <v>Credit Card</v>
      </c>
      <c r="M135" s="34">
        <f t="shared" si="9"/>
        <v>7533</v>
      </c>
      <c r="N135" s="34">
        <f t="shared" si="10"/>
        <v>28</v>
      </c>
    </row>
    <row r="136" spans="1:14" x14ac:dyDescent="0.3">
      <c r="A136" s="31" t="s">
        <v>121</v>
      </c>
      <c r="B136" s="32" t="s">
        <v>88</v>
      </c>
      <c r="C136" s="37" t="s">
        <v>324</v>
      </c>
      <c r="D136" s="32" t="s">
        <v>30</v>
      </c>
      <c r="E136" s="32" t="s">
        <v>31</v>
      </c>
      <c r="F136" s="32">
        <v>4</v>
      </c>
      <c r="G136" s="32">
        <v>9111</v>
      </c>
      <c r="H136" s="32" t="s">
        <v>24</v>
      </c>
      <c r="I136" s="32" t="s">
        <v>32</v>
      </c>
      <c r="J136" s="32" t="s">
        <v>18</v>
      </c>
      <c r="K136" s="34" t="str">
        <f t="shared" si="8"/>
        <v>Pune</v>
      </c>
      <c r="L136" t="str">
        <f t="shared" si="11"/>
        <v>Net Banking</v>
      </c>
      <c r="M136" s="34">
        <f t="shared" si="9"/>
        <v>36444</v>
      </c>
      <c r="N136" s="34">
        <f t="shared" si="10"/>
        <v>19</v>
      </c>
    </row>
    <row r="137" spans="1:14" x14ac:dyDescent="0.3">
      <c r="A137" s="33" t="s">
        <v>122</v>
      </c>
      <c r="B137" s="34" t="s">
        <v>212</v>
      </c>
      <c r="C137" s="38" t="s">
        <v>364</v>
      </c>
      <c r="D137" s="34" t="s">
        <v>28</v>
      </c>
      <c r="E137" s="34" t="s">
        <v>23</v>
      </c>
      <c r="F137" s="34">
        <v>3</v>
      </c>
      <c r="G137" s="34">
        <v>1211</v>
      </c>
      <c r="H137" s="34" t="s">
        <v>19</v>
      </c>
      <c r="I137" s="34" t="s">
        <v>38</v>
      </c>
      <c r="J137" s="34" t="s">
        <v>18</v>
      </c>
      <c r="K137" s="34" t="str">
        <f t="shared" si="8"/>
        <v>Chennai</v>
      </c>
      <c r="L137" t="str">
        <f t="shared" si="11"/>
        <v>Net Banking</v>
      </c>
      <c r="M137" s="34">
        <f t="shared" si="9"/>
        <v>3633</v>
      </c>
      <c r="N137" s="34">
        <f t="shared" si="10"/>
        <v>14</v>
      </c>
    </row>
    <row r="138" spans="1:14" x14ac:dyDescent="0.3">
      <c r="A138" s="31" t="s">
        <v>124</v>
      </c>
      <c r="B138" s="32" t="s">
        <v>125</v>
      </c>
      <c r="C138" s="37" t="s">
        <v>396</v>
      </c>
      <c r="D138" s="32" t="s">
        <v>36</v>
      </c>
      <c r="E138" s="32" t="s">
        <v>23</v>
      </c>
      <c r="F138" s="32">
        <v>3</v>
      </c>
      <c r="G138" s="32">
        <v>1211</v>
      </c>
      <c r="H138" s="32" t="s">
        <v>24</v>
      </c>
      <c r="I138" s="32" t="s">
        <v>32</v>
      </c>
      <c r="J138" s="32" t="s">
        <v>21</v>
      </c>
      <c r="K138" s="34" t="str">
        <f t="shared" si="8"/>
        <v>Pune</v>
      </c>
      <c r="L138" t="str">
        <f t="shared" si="11"/>
        <v>Credit Card</v>
      </c>
      <c r="M138" s="34">
        <f t="shared" si="9"/>
        <v>3633</v>
      </c>
      <c r="N138" s="34">
        <f t="shared" si="10"/>
        <v>14</v>
      </c>
    </row>
    <row r="139" spans="1:14" x14ac:dyDescent="0.3">
      <c r="A139" s="33" t="s">
        <v>126</v>
      </c>
      <c r="B139" s="34" t="s">
        <v>189</v>
      </c>
      <c r="C139" s="38" t="s">
        <v>315</v>
      </c>
      <c r="D139" s="34" t="s">
        <v>22</v>
      </c>
      <c r="E139" s="34" t="s">
        <v>23</v>
      </c>
      <c r="F139" s="34">
        <v>2</v>
      </c>
      <c r="G139" s="34">
        <v>1111</v>
      </c>
      <c r="H139" s="34" t="s">
        <v>29</v>
      </c>
      <c r="I139" s="34" t="s">
        <v>25</v>
      </c>
      <c r="J139" s="34" t="s">
        <v>15</v>
      </c>
      <c r="K139" s="34" t="str">
        <f t="shared" si="8"/>
        <v>Kolkata</v>
      </c>
      <c r="L139" t="str">
        <f t="shared" si="11"/>
        <v>Net Banking</v>
      </c>
      <c r="M139" s="34">
        <f t="shared" si="9"/>
        <v>2222</v>
      </c>
      <c r="N139" s="34">
        <f t="shared" si="10"/>
        <v>21</v>
      </c>
    </row>
    <row r="140" spans="1:14" x14ac:dyDescent="0.3">
      <c r="A140" s="31" t="s">
        <v>128</v>
      </c>
      <c r="B140" s="32" t="s">
        <v>174</v>
      </c>
      <c r="C140" s="37" t="s">
        <v>397</v>
      </c>
      <c r="D140" s="32" t="s">
        <v>36</v>
      </c>
      <c r="E140" s="32" t="s">
        <v>23</v>
      </c>
      <c r="F140" s="32">
        <v>1</v>
      </c>
      <c r="G140" s="32">
        <v>3511</v>
      </c>
      <c r="H140" s="32" t="s">
        <v>37</v>
      </c>
      <c r="I140" s="32" t="s">
        <v>20</v>
      </c>
      <c r="J140" s="32" t="s">
        <v>21</v>
      </c>
      <c r="K140" s="34" t="str">
        <f t="shared" si="8"/>
        <v>Jaipur</v>
      </c>
      <c r="L140" t="str">
        <f t="shared" si="11"/>
        <v>Cash</v>
      </c>
      <c r="M140" s="34">
        <f t="shared" si="9"/>
        <v>3511</v>
      </c>
      <c r="N140" s="34">
        <f t="shared" si="10"/>
        <v>27</v>
      </c>
    </row>
    <row r="141" spans="1:14" x14ac:dyDescent="0.3">
      <c r="A141" s="33" t="s">
        <v>130</v>
      </c>
      <c r="B141" s="34" t="s">
        <v>162</v>
      </c>
      <c r="C141" s="38" t="s">
        <v>358</v>
      </c>
      <c r="D141" s="34" t="s">
        <v>28</v>
      </c>
      <c r="E141" s="34" t="s">
        <v>23</v>
      </c>
      <c r="F141" s="34">
        <v>1</v>
      </c>
      <c r="G141" s="34">
        <v>711</v>
      </c>
      <c r="H141" s="34" t="s">
        <v>24</v>
      </c>
      <c r="I141" s="34" t="s">
        <v>32</v>
      </c>
      <c r="J141" s="34" t="s">
        <v>21</v>
      </c>
      <c r="K141" s="34" t="str">
        <f t="shared" si="8"/>
        <v>Pune</v>
      </c>
      <c r="L141" t="str">
        <f t="shared" si="11"/>
        <v>UPI</v>
      </c>
      <c r="M141" s="34">
        <f t="shared" si="9"/>
        <v>711</v>
      </c>
      <c r="N141" s="34">
        <f t="shared" si="10"/>
        <v>21</v>
      </c>
    </row>
    <row r="142" spans="1:14" x14ac:dyDescent="0.3">
      <c r="A142" s="31" t="s">
        <v>130</v>
      </c>
      <c r="B142" s="32" t="s">
        <v>89</v>
      </c>
      <c r="C142" s="37" t="s">
        <v>398</v>
      </c>
      <c r="D142" s="32" t="s">
        <v>10</v>
      </c>
      <c r="E142" s="32" t="s">
        <v>11</v>
      </c>
      <c r="F142" s="32">
        <v>3</v>
      </c>
      <c r="G142" s="32">
        <v>42111</v>
      </c>
      <c r="H142" s="32" t="s">
        <v>17</v>
      </c>
      <c r="I142" s="32" t="s">
        <v>25</v>
      </c>
      <c r="J142" s="32" t="s">
        <v>21</v>
      </c>
      <c r="K142" s="34" t="str">
        <f t="shared" si="8"/>
        <v>Mumbai</v>
      </c>
      <c r="L142" t="str">
        <f t="shared" si="11"/>
        <v>Net Banking</v>
      </c>
      <c r="M142" s="34">
        <f t="shared" si="9"/>
        <v>126333</v>
      </c>
      <c r="N142" s="34">
        <f t="shared" si="10"/>
        <v>27</v>
      </c>
    </row>
    <row r="143" spans="1:14" x14ac:dyDescent="0.3">
      <c r="A143" s="33" t="s">
        <v>133</v>
      </c>
      <c r="B143" s="34" t="s">
        <v>109</v>
      </c>
      <c r="C143" s="38" t="s">
        <v>399</v>
      </c>
      <c r="D143" s="34" t="s">
        <v>22</v>
      </c>
      <c r="E143" s="34" t="s">
        <v>23</v>
      </c>
      <c r="F143" s="34">
        <v>2</v>
      </c>
      <c r="G143" s="34">
        <v>1111</v>
      </c>
      <c r="H143" s="34" t="s">
        <v>29</v>
      </c>
      <c r="I143" s="34" t="s">
        <v>20</v>
      </c>
      <c r="J143" s="34" t="s">
        <v>18</v>
      </c>
      <c r="K143" s="34" t="str">
        <f t="shared" si="8"/>
        <v>Kolkata</v>
      </c>
      <c r="L143" t="str">
        <f t="shared" si="11"/>
        <v>Cash</v>
      </c>
      <c r="M143" s="34">
        <f t="shared" si="9"/>
        <v>2222</v>
      </c>
      <c r="N143" s="34">
        <f t="shared" si="10"/>
        <v>17</v>
      </c>
    </row>
    <row r="144" spans="1:14" x14ac:dyDescent="0.3">
      <c r="A144" s="31" t="s">
        <v>135</v>
      </c>
      <c r="B144" s="32" t="s">
        <v>92</v>
      </c>
      <c r="C144" s="37" t="s">
        <v>399</v>
      </c>
      <c r="D144" s="32" t="s">
        <v>10</v>
      </c>
      <c r="E144" s="32" t="s">
        <v>11</v>
      </c>
      <c r="F144" s="32">
        <v>2</v>
      </c>
      <c r="G144" s="32">
        <v>42111</v>
      </c>
      <c r="H144" s="32" t="s">
        <v>24</v>
      </c>
      <c r="I144" s="32" t="s">
        <v>27</v>
      </c>
      <c r="J144" s="32" t="s">
        <v>18</v>
      </c>
      <c r="K144" s="34" t="str">
        <f t="shared" si="8"/>
        <v>Pune</v>
      </c>
      <c r="L144" t="str">
        <f t="shared" si="11"/>
        <v>UPI</v>
      </c>
      <c r="M144" s="34">
        <f t="shared" si="9"/>
        <v>84222</v>
      </c>
      <c r="N144" s="34">
        <f t="shared" si="10"/>
        <v>17</v>
      </c>
    </row>
    <row r="145" spans="1:14" x14ac:dyDescent="0.3">
      <c r="A145" s="33" t="s">
        <v>137</v>
      </c>
      <c r="B145" s="34" t="s">
        <v>213</v>
      </c>
      <c r="C145" s="38" t="s">
        <v>377</v>
      </c>
      <c r="D145" s="34" t="s">
        <v>16</v>
      </c>
      <c r="E145" s="34" t="s">
        <v>11</v>
      </c>
      <c r="F145" s="34">
        <v>3</v>
      </c>
      <c r="G145" s="34">
        <v>61111</v>
      </c>
      <c r="H145" s="34" t="s">
        <v>24</v>
      </c>
      <c r="I145" s="34" t="s">
        <v>20</v>
      </c>
      <c r="J145" s="34" t="s">
        <v>21</v>
      </c>
      <c r="K145" s="34" t="str">
        <f t="shared" si="8"/>
        <v>Pune</v>
      </c>
      <c r="L145" t="str">
        <f t="shared" si="11"/>
        <v>Debit Card</v>
      </c>
      <c r="M145" s="34">
        <f t="shared" si="9"/>
        <v>183333</v>
      </c>
      <c r="N145" s="34">
        <f t="shared" si="10"/>
        <v>27</v>
      </c>
    </row>
    <row r="146" spans="1:14" x14ac:dyDescent="0.3">
      <c r="A146" s="31" t="s">
        <v>139</v>
      </c>
      <c r="B146" s="32" t="s">
        <v>123</v>
      </c>
      <c r="C146" s="37" t="s">
        <v>386</v>
      </c>
      <c r="D146" s="32" t="s">
        <v>22</v>
      </c>
      <c r="E146" s="32" t="s">
        <v>23</v>
      </c>
      <c r="F146" s="32">
        <v>3</v>
      </c>
      <c r="G146" s="32">
        <v>411</v>
      </c>
      <c r="H146" s="32" t="s">
        <v>35</v>
      </c>
      <c r="I146" s="32" t="s">
        <v>32</v>
      </c>
      <c r="J146" s="32" t="s">
        <v>21</v>
      </c>
      <c r="K146" s="34" t="str">
        <f t="shared" si="8"/>
        <v>Hyderabad</v>
      </c>
      <c r="L146" t="str">
        <f t="shared" si="11"/>
        <v>UPI</v>
      </c>
      <c r="M146" s="34">
        <f t="shared" si="9"/>
        <v>1233</v>
      </c>
      <c r="N146" s="34">
        <f t="shared" si="10"/>
        <v>26</v>
      </c>
    </row>
    <row r="147" spans="1:14" x14ac:dyDescent="0.3">
      <c r="A147" s="33" t="s">
        <v>141</v>
      </c>
      <c r="B147" s="34" t="s">
        <v>125</v>
      </c>
      <c r="C147" s="38" t="s">
        <v>358</v>
      </c>
      <c r="D147" s="34" t="s">
        <v>28</v>
      </c>
      <c r="E147" s="34" t="s">
        <v>23</v>
      </c>
      <c r="F147" s="34">
        <v>2</v>
      </c>
      <c r="G147" s="34">
        <v>711</v>
      </c>
      <c r="H147" s="34" t="s">
        <v>66</v>
      </c>
      <c r="I147" s="34" t="s">
        <v>14</v>
      </c>
      <c r="J147" s="34" t="s">
        <v>18</v>
      </c>
      <c r="K147" s="34" t="str">
        <f t="shared" si="8"/>
        <v>Mumbai</v>
      </c>
      <c r="L147" t="str">
        <f t="shared" si="11"/>
        <v>Net Banking</v>
      </c>
      <c r="M147" s="34">
        <f t="shared" si="9"/>
        <v>1422</v>
      </c>
      <c r="N147" s="34">
        <f t="shared" si="10"/>
        <v>21</v>
      </c>
    </row>
    <row r="148" spans="1:14" x14ac:dyDescent="0.3">
      <c r="A148" s="31" t="s">
        <v>142</v>
      </c>
      <c r="B148" s="32" t="s">
        <v>214</v>
      </c>
      <c r="C148" s="37" t="s">
        <v>400</v>
      </c>
      <c r="D148" s="32" t="s">
        <v>30</v>
      </c>
      <c r="E148" s="32" t="s">
        <v>31</v>
      </c>
      <c r="F148" s="32">
        <v>1</v>
      </c>
      <c r="G148" s="32">
        <v>4111</v>
      </c>
      <c r="H148" s="32" t="s">
        <v>35</v>
      </c>
      <c r="I148" s="32" t="s">
        <v>32</v>
      </c>
      <c r="J148" s="32" t="s">
        <v>15</v>
      </c>
      <c r="K148" s="34" t="str">
        <f t="shared" si="8"/>
        <v>Hyderabad</v>
      </c>
      <c r="L148" t="str">
        <f t="shared" si="11"/>
        <v>Credit Card</v>
      </c>
      <c r="M148" s="34">
        <f t="shared" si="9"/>
        <v>4111</v>
      </c>
      <c r="N148" s="34">
        <f t="shared" si="10"/>
        <v>21</v>
      </c>
    </row>
    <row r="149" spans="1:14" x14ac:dyDescent="0.3">
      <c r="A149" s="33" t="s">
        <v>144</v>
      </c>
      <c r="B149" s="34" t="s">
        <v>158</v>
      </c>
      <c r="C149" s="38" t="s">
        <v>337</v>
      </c>
      <c r="D149" s="34" t="s">
        <v>30</v>
      </c>
      <c r="E149" s="34" t="s">
        <v>31</v>
      </c>
      <c r="F149" s="34">
        <v>3</v>
      </c>
      <c r="G149" s="34">
        <v>2511</v>
      </c>
      <c r="H149" s="34" t="s">
        <v>13</v>
      </c>
      <c r="I149" s="34" t="s">
        <v>32</v>
      </c>
      <c r="J149" s="34" t="s">
        <v>15</v>
      </c>
      <c r="K149" s="34" t="str">
        <f t="shared" si="8"/>
        <v>Delhi</v>
      </c>
      <c r="L149" t="str">
        <f t="shared" si="11"/>
        <v>Net Banking</v>
      </c>
      <c r="M149" s="34">
        <f t="shared" si="9"/>
        <v>7533</v>
      </c>
      <c r="N149" s="34">
        <f t="shared" si="10"/>
        <v>15</v>
      </c>
    </row>
    <row r="150" spans="1:14" x14ac:dyDescent="0.3">
      <c r="A150" s="31" t="s">
        <v>145</v>
      </c>
      <c r="B150" s="32" t="s">
        <v>76</v>
      </c>
      <c r="C150" s="37" t="s">
        <v>401</v>
      </c>
      <c r="D150" s="32" t="s">
        <v>10</v>
      </c>
      <c r="E150" s="32" t="s">
        <v>11</v>
      </c>
      <c r="F150" s="32">
        <v>4</v>
      </c>
      <c r="G150" s="32">
        <v>31111</v>
      </c>
      <c r="H150" s="32" t="s">
        <v>19</v>
      </c>
      <c r="I150" s="32" t="s">
        <v>20</v>
      </c>
      <c r="J150" s="32" t="s">
        <v>21</v>
      </c>
      <c r="K150" s="34" t="str">
        <f t="shared" si="8"/>
        <v>Chennai</v>
      </c>
      <c r="L150" t="str">
        <f t="shared" si="11"/>
        <v>Net Banking</v>
      </c>
      <c r="M150" s="34">
        <f t="shared" si="9"/>
        <v>124444</v>
      </c>
      <c r="N150" s="34">
        <f t="shared" si="10"/>
        <v>18</v>
      </c>
    </row>
    <row r="151" spans="1:14" x14ac:dyDescent="0.3">
      <c r="A151" s="33" t="s">
        <v>147</v>
      </c>
      <c r="B151" s="34" t="s">
        <v>78</v>
      </c>
      <c r="C151" s="38" t="s">
        <v>355</v>
      </c>
      <c r="D151" s="34" t="s">
        <v>36</v>
      </c>
      <c r="E151" s="34" t="s">
        <v>23</v>
      </c>
      <c r="F151" s="34">
        <v>3</v>
      </c>
      <c r="G151" s="34">
        <v>3511</v>
      </c>
      <c r="H151" s="34" t="s">
        <v>19</v>
      </c>
      <c r="I151" s="34" t="s">
        <v>32</v>
      </c>
      <c r="J151" s="34" t="s">
        <v>18</v>
      </c>
      <c r="K151" s="34" t="str">
        <f t="shared" si="8"/>
        <v>Chennai</v>
      </c>
      <c r="L151" t="str">
        <f t="shared" si="11"/>
        <v>UPI</v>
      </c>
      <c r="M151" s="34">
        <f t="shared" si="9"/>
        <v>10533</v>
      </c>
      <c r="N151" s="34">
        <f t="shared" si="10"/>
        <v>12</v>
      </c>
    </row>
    <row r="152" spans="1:14" x14ac:dyDescent="0.3">
      <c r="A152" s="31" t="s">
        <v>147</v>
      </c>
      <c r="B152" s="32" t="s">
        <v>101</v>
      </c>
      <c r="C152" s="37" t="s">
        <v>320</v>
      </c>
      <c r="D152" s="32" t="s">
        <v>28</v>
      </c>
      <c r="E152" s="32" t="s">
        <v>23</v>
      </c>
      <c r="F152" s="32">
        <v>2</v>
      </c>
      <c r="G152" s="32">
        <v>1211</v>
      </c>
      <c r="H152" s="32" t="s">
        <v>37</v>
      </c>
      <c r="I152" s="32" t="s">
        <v>14</v>
      </c>
      <c r="J152" s="32" t="s">
        <v>15</v>
      </c>
      <c r="K152" s="34" t="str">
        <f t="shared" si="8"/>
        <v>Jaipur</v>
      </c>
      <c r="L152" t="str">
        <f t="shared" si="11"/>
        <v>Net Banking</v>
      </c>
      <c r="M152" s="34">
        <f t="shared" si="9"/>
        <v>2422</v>
      </c>
      <c r="N152" s="34">
        <f t="shared" si="10"/>
        <v>11</v>
      </c>
    </row>
    <row r="153" spans="1:14" x14ac:dyDescent="0.3">
      <c r="A153" s="33" t="s">
        <v>150</v>
      </c>
      <c r="B153" s="34" t="s">
        <v>123</v>
      </c>
      <c r="C153" s="38" t="s">
        <v>402</v>
      </c>
      <c r="D153" s="34" t="s">
        <v>10</v>
      </c>
      <c r="E153" s="34" t="s">
        <v>11</v>
      </c>
      <c r="F153" s="34">
        <v>1</v>
      </c>
      <c r="G153" s="34">
        <v>42111</v>
      </c>
      <c r="H153" s="34" t="s">
        <v>67</v>
      </c>
      <c r="I153" s="34" t="s">
        <v>20</v>
      </c>
      <c r="J153" s="34" t="s">
        <v>15</v>
      </c>
      <c r="K153" s="34" t="str">
        <f t="shared" si="8"/>
        <v>Bangalore</v>
      </c>
      <c r="L153" t="str">
        <f t="shared" si="11"/>
        <v>Credit Card</v>
      </c>
      <c r="M153" s="34">
        <f t="shared" si="9"/>
        <v>42111</v>
      </c>
      <c r="N153" s="34">
        <f t="shared" si="10"/>
        <v>31</v>
      </c>
    </row>
    <row r="154" spans="1:14" x14ac:dyDescent="0.3">
      <c r="A154" s="31" t="s">
        <v>152</v>
      </c>
      <c r="B154" s="32" t="s">
        <v>179</v>
      </c>
      <c r="C154" s="37" t="s">
        <v>340</v>
      </c>
      <c r="D154" s="32" t="s">
        <v>22</v>
      </c>
      <c r="E154" s="32" t="s">
        <v>23</v>
      </c>
      <c r="F154" s="32">
        <v>2</v>
      </c>
      <c r="G154" s="32">
        <v>411</v>
      </c>
      <c r="H154" s="32" t="s">
        <v>17</v>
      </c>
      <c r="I154" s="32" t="s">
        <v>25</v>
      </c>
      <c r="J154" s="32" t="s">
        <v>21</v>
      </c>
      <c r="K154" s="34" t="str">
        <f t="shared" si="8"/>
        <v>Mumbai</v>
      </c>
      <c r="L154" t="str">
        <f t="shared" si="11"/>
        <v>UPI</v>
      </c>
      <c r="M154" s="34">
        <f t="shared" si="9"/>
        <v>822</v>
      </c>
      <c r="N154" s="34">
        <f t="shared" si="10"/>
        <v>21</v>
      </c>
    </row>
    <row r="155" spans="1:14" x14ac:dyDescent="0.3">
      <c r="A155" s="33" t="s">
        <v>153</v>
      </c>
      <c r="B155" s="34" t="s">
        <v>215</v>
      </c>
      <c r="C155" s="38" t="s">
        <v>403</v>
      </c>
      <c r="D155" s="34" t="s">
        <v>30</v>
      </c>
      <c r="E155" s="34" t="s">
        <v>31</v>
      </c>
      <c r="F155" s="34">
        <v>1</v>
      </c>
      <c r="G155" s="34">
        <v>6511</v>
      </c>
      <c r="H155" s="34" t="s">
        <v>35</v>
      </c>
      <c r="I155" s="34" t="s">
        <v>14</v>
      </c>
      <c r="J155" s="34" t="s">
        <v>15</v>
      </c>
      <c r="K155" s="34" t="str">
        <f t="shared" si="8"/>
        <v>Hyderabad</v>
      </c>
      <c r="L155" t="str">
        <f t="shared" si="11"/>
        <v>Cash</v>
      </c>
      <c r="M155" s="34">
        <f t="shared" si="9"/>
        <v>6511</v>
      </c>
      <c r="N155" s="34">
        <f t="shared" si="10"/>
        <v>12</v>
      </c>
    </row>
    <row r="156" spans="1:14" x14ac:dyDescent="0.3">
      <c r="A156" s="31" t="s">
        <v>154</v>
      </c>
      <c r="B156" s="32" t="s">
        <v>99</v>
      </c>
      <c r="C156" s="37" t="s">
        <v>404</v>
      </c>
      <c r="D156" s="32" t="s">
        <v>22</v>
      </c>
      <c r="E156" s="32" t="s">
        <v>23</v>
      </c>
      <c r="F156" s="32">
        <v>2</v>
      </c>
      <c r="G156" s="32">
        <v>1111</v>
      </c>
      <c r="H156" s="32" t="s">
        <v>29</v>
      </c>
      <c r="I156" s="32" t="s">
        <v>20</v>
      </c>
      <c r="J156" s="32" t="s">
        <v>18</v>
      </c>
      <c r="K156" s="34" t="str">
        <f t="shared" si="8"/>
        <v>Kolkata</v>
      </c>
      <c r="L156" t="str">
        <f t="shared" si="11"/>
        <v>Credit Card</v>
      </c>
      <c r="M156" s="34">
        <f t="shared" si="9"/>
        <v>2222</v>
      </c>
      <c r="N156" s="34">
        <f t="shared" si="10"/>
        <v>11</v>
      </c>
    </row>
    <row r="157" spans="1:14" x14ac:dyDescent="0.3">
      <c r="A157" s="33" t="s">
        <v>156</v>
      </c>
      <c r="B157" s="34" t="s">
        <v>216</v>
      </c>
      <c r="C157" s="38" t="s">
        <v>405</v>
      </c>
      <c r="D157" s="34" t="s">
        <v>26</v>
      </c>
      <c r="E157" s="34" t="s">
        <v>11</v>
      </c>
      <c r="F157" s="34">
        <v>1</v>
      </c>
      <c r="G157" s="34">
        <v>9111</v>
      </c>
      <c r="H157" s="34" t="s">
        <v>67</v>
      </c>
      <c r="I157" s="34" t="s">
        <v>25</v>
      </c>
      <c r="J157" s="34" t="s">
        <v>15</v>
      </c>
      <c r="K157" s="34" t="str">
        <f t="shared" si="8"/>
        <v>Bangalore</v>
      </c>
      <c r="L157" t="str">
        <f t="shared" si="11"/>
        <v>UPI</v>
      </c>
      <c r="M157" s="34">
        <f t="shared" si="9"/>
        <v>9111</v>
      </c>
      <c r="N157" s="34">
        <f t="shared" si="10"/>
        <v>28</v>
      </c>
    </row>
    <row r="158" spans="1:14" x14ac:dyDescent="0.3">
      <c r="A158" s="31" t="s">
        <v>157</v>
      </c>
      <c r="B158" s="32" t="s">
        <v>210</v>
      </c>
      <c r="C158" s="37" t="s">
        <v>406</v>
      </c>
      <c r="D158" s="32" t="s">
        <v>26</v>
      </c>
      <c r="E158" s="32" t="s">
        <v>11</v>
      </c>
      <c r="F158" s="32">
        <v>3</v>
      </c>
      <c r="G158" s="32">
        <v>22111</v>
      </c>
      <c r="H158" s="32" t="s">
        <v>29</v>
      </c>
      <c r="I158" s="32" t="s">
        <v>27</v>
      </c>
      <c r="J158" s="32" t="s">
        <v>18</v>
      </c>
      <c r="K158" s="34" t="str">
        <f t="shared" si="8"/>
        <v>Kolkata</v>
      </c>
      <c r="L158" t="str">
        <f t="shared" si="11"/>
        <v>Cash</v>
      </c>
      <c r="M158" s="34">
        <f t="shared" si="9"/>
        <v>66333</v>
      </c>
      <c r="N158" s="34">
        <f t="shared" si="10"/>
        <v>23</v>
      </c>
    </row>
    <row r="159" spans="1:14" x14ac:dyDescent="0.3">
      <c r="A159" s="33" t="s">
        <v>159</v>
      </c>
      <c r="B159" s="34" t="s">
        <v>99</v>
      </c>
      <c r="C159" s="38" t="s">
        <v>407</v>
      </c>
      <c r="D159" s="34" t="s">
        <v>30</v>
      </c>
      <c r="E159" s="34" t="s">
        <v>31</v>
      </c>
      <c r="F159" s="34">
        <v>3</v>
      </c>
      <c r="G159" s="34">
        <v>9111</v>
      </c>
      <c r="H159" s="34" t="s">
        <v>29</v>
      </c>
      <c r="I159" s="34" t="s">
        <v>27</v>
      </c>
      <c r="J159" s="34" t="s">
        <v>18</v>
      </c>
      <c r="K159" s="34" t="str">
        <f t="shared" si="8"/>
        <v>Kolkata</v>
      </c>
      <c r="L159" t="str">
        <f t="shared" si="11"/>
        <v>Debit Card</v>
      </c>
      <c r="M159" s="34">
        <f t="shared" si="9"/>
        <v>27333</v>
      </c>
      <c r="N159" s="34">
        <f t="shared" si="10"/>
        <v>13</v>
      </c>
    </row>
    <row r="160" spans="1:14" x14ac:dyDescent="0.3">
      <c r="A160" s="31" t="s">
        <v>160</v>
      </c>
      <c r="B160" s="32" t="s">
        <v>89</v>
      </c>
      <c r="C160" s="37" t="s">
        <v>392</v>
      </c>
      <c r="D160" s="32" t="s">
        <v>16</v>
      </c>
      <c r="E160" s="32" t="s">
        <v>11</v>
      </c>
      <c r="F160" s="32">
        <v>2</v>
      </c>
      <c r="G160" s="32">
        <v>52111</v>
      </c>
      <c r="H160" s="32" t="s">
        <v>67</v>
      </c>
      <c r="I160" s="32" t="s">
        <v>25</v>
      </c>
      <c r="J160" s="32" t="s">
        <v>21</v>
      </c>
      <c r="K160" s="34" t="str">
        <f t="shared" si="8"/>
        <v>Bangalore</v>
      </c>
      <c r="L160" t="str">
        <f t="shared" si="11"/>
        <v>Debit Card</v>
      </c>
      <c r="M160" s="34">
        <f t="shared" si="9"/>
        <v>104222</v>
      </c>
      <c r="N160" s="34">
        <f t="shared" si="10"/>
        <v>11</v>
      </c>
    </row>
    <row r="161" spans="1:14" x14ac:dyDescent="0.3">
      <c r="A161" s="33" t="s">
        <v>161</v>
      </c>
      <c r="B161" s="34" t="s">
        <v>87</v>
      </c>
      <c r="C161" s="38" t="s">
        <v>408</v>
      </c>
      <c r="D161" s="34" t="s">
        <v>28</v>
      </c>
      <c r="E161" s="34" t="s">
        <v>23</v>
      </c>
      <c r="F161" s="34">
        <v>4</v>
      </c>
      <c r="G161" s="34">
        <v>1811</v>
      </c>
      <c r="H161" s="34" t="s">
        <v>17</v>
      </c>
      <c r="I161" s="34" t="s">
        <v>32</v>
      </c>
      <c r="J161" s="34" t="s">
        <v>18</v>
      </c>
      <c r="K161" s="34" t="str">
        <f t="shared" si="8"/>
        <v>Mumbai</v>
      </c>
      <c r="L161" t="str">
        <f t="shared" si="11"/>
        <v>Cash</v>
      </c>
      <c r="M161" s="34">
        <f t="shared" si="9"/>
        <v>7244</v>
      </c>
      <c r="N161" s="34">
        <f t="shared" si="10"/>
        <v>31</v>
      </c>
    </row>
    <row r="162" spans="1:14" x14ac:dyDescent="0.3">
      <c r="A162" s="31" t="s">
        <v>161</v>
      </c>
      <c r="B162" s="32" t="s">
        <v>217</v>
      </c>
      <c r="C162" s="37" t="s">
        <v>409</v>
      </c>
      <c r="D162" s="32" t="s">
        <v>36</v>
      </c>
      <c r="E162" s="32" t="s">
        <v>23</v>
      </c>
      <c r="F162" s="32">
        <v>1</v>
      </c>
      <c r="G162" s="32">
        <v>1211</v>
      </c>
      <c r="H162" s="32" t="s">
        <v>37</v>
      </c>
      <c r="I162" s="32" t="s">
        <v>14</v>
      </c>
      <c r="J162" s="32" t="s">
        <v>21</v>
      </c>
      <c r="K162" s="34" t="str">
        <f t="shared" si="8"/>
        <v>Jaipur</v>
      </c>
      <c r="L162" t="str">
        <f t="shared" si="11"/>
        <v>Net Banking</v>
      </c>
      <c r="M162" s="34">
        <f t="shared" si="9"/>
        <v>1211</v>
      </c>
      <c r="N162" s="34">
        <f t="shared" si="10"/>
        <v>29</v>
      </c>
    </row>
    <row r="163" spans="1:14" x14ac:dyDescent="0.3">
      <c r="A163" s="33" t="s">
        <v>163</v>
      </c>
      <c r="B163" s="34" t="s">
        <v>216</v>
      </c>
      <c r="C163" s="38" t="s">
        <v>410</v>
      </c>
      <c r="D163" s="34" t="s">
        <v>30</v>
      </c>
      <c r="E163" s="34" t="s">
        <v>31</v>
      </c>
      <c r="F163" s="34">
        <v>3</v>
      </c>
      <c r="G163" s="34">
        <v>2511</v>
      </c>
      <c r="H163" s="34" t="s">
        <v>24</v>
      </c>
      <c r="I163" s="34" t="s">
        <v>32</v>
      </c>
      <c r="J163" s="34" t="s">
        <v>18</v>
      </c>
      <c r="K163" s="34" t="str">
        <f t="shared" si="8"/>
        <v>Pune</v>
      </c>
      <c r="L163" t="str">
        <f t="shared" si="11"/>
        <v>Credit Card</v>
      </c>
      <c r="M163" s="34">
        <f t="shared" si="9"/>
        <v>7533</v>
      </c>
      <c r="N163" s="34">
        <f t="shared" si="10"/>
        <v>29</v>
      </c>
    </row>
    <row r="164" spans="1:14" x14ac:dyDescent="0.3">
      <c r="A164" s="31" t="s">
        <v>164</v>
      </c>
      <c r="B164" s="32" t="s">
        <v>138</v>
      </c>
      <c r="C164" s="37" t="s">
        <v>389</v>
      </c>
      <c r="D164" s="32" t="s">
        <v>16</v>
      </c>
      <c r="E164" s="32" t="s">
        <v>11</v>
      </c>
      <c r="F164" s="32">
        <v>4</v>
      </c>
      <c r="G164" s="32">
        <v>52111</v>
      </c>
      <c r="H164" s="32" t="s">
        <v>19</v>
      </c>
      <c r="I164" s="32" t="s">
        <v>20</v>
      </c>
      <c r="J164" s="32" t="s">
        <v>18</v>
      </c>
      <c r="K164" s="34" t="str">
        <f t="shared" si="8"/>
        <v>Chennai</v>
      </c>
      <c r="L164" t="str">
        <f t="shared" si="11"/>
        <v>Net Banking</v>
      </c>
      <c r="M164" s="34">
        <f t="shared" si="9"/>
        <v>208444</v>
      </c>
      <c r="N164" s="34">
        <f t="shared" si="10"/>
        <v>11</v>
      </c>
    </row>
    <row r="165" spans="1:14" x14ac:dyDescent="0.3">
      <c r="A165" s="33" t="s">
        <v>165</v>
      </c>
      <c r="B165" s="34" t="s">
        <v>76</v>
      </c>
      <c r="C165" s="38" t="s">
        <v>411</v>
      </c>
      <c r="D165" s="34" t="s">
        <v>34</v>
      </c>
      <c r="E165" s="34" t="s">
        <v>11</v>
      </c>
      <c r="F165" s="34">
        <v>4</v>
      </c>
      <c r="G165" s="34">
        <v>12111</v>
      </c>
      <c r="H165" s="34" t="s">
        <v>35</v>
      </c>
      <c r="I165" s="34" t="s">
        <v>20</v>
      </c>
      <c r="J165" s="34" t="s">
        <v>21</v>
      </c>
      <c r="K165" s="34" t="str">
        <f t="shared" si="8"/>
        <v>Hyderabad</v>
      </c>
      <c r="L165" t="str">
        <f t="shared" si="11"/>
        <v>UPI</v>
      </c>
      <c r="M165" s="34">
        <f t="shared" si="9"/>
        <v>48444</v>
      </c>
      <c r="N165" s="34">
        <f t="shared" si="10"/>
        <v>14</v>
      </c>
    </row>
    <row r="166" spans="1:14" x14ac:dyDescent="0.3">
      <c r="A166" s="31" t="s">
        <v>167</v>
      </c>
      <c r="B166" s="32" t="s">
        <v>155</v>
      </c>
      <c r="C166" s="37" t="s">
        <v>324</v>
      </c>
      <c r="D166" s="32" t="s">
        <v>16</v>
      </c>
      <c r="E166" s="32" t="s">
        <v>11</v>
      </c>
      <c r="F166" s="32">
        <v>2</v>
      </c>
      <c r="G166" s="32">
        <v>45111</v>
      </c>
      <c r="H166" s="32" t="s">
        <v>35</v>
      </c>
      <c r="I166" s="32" t="s">
        <v>27</v>
      </c>
      <c r="J166" s="32" t="s">
        <v>15</v>
      </c>
      <c r="K166" s="34" t="str">
        <f t="shared" si="8"/>
        <v>Hyderabad</v>
      </c>
      <c r="L166" t="str">
        <f t="shared" si="11"/>
        <v>UPI</v>
      </c>
      <c r="M166" s="34">
        <f t="shared" si="9"/>
        <v>90222</v>
      </c>
      <c r="N166" s="34">
        <f t="shared" si="10"/>
        <v>19</v>
      </c>
    </row>
    <row r="167" spans="1:14" x14ac:dyDescent="0.3">
      <c r="A167" s="33" t="s">
        <v>168</v>
      </c>
      <c r="B167" s="34" t="s">
        <v>217</v>
      </c>
      <c r="C167" s="38" t="s">
        <v>407</v>
      </c>
      <c r="D167" s="34" t="s">
        <v>10</v>
      </c>
      <c r="E167" s="34" t="s">
        <v>11</v>
      </c>
      <c r="F167" s="34">
        <v>3</v>
      </c>
      <c r="G167" s="34">
        <v>22111</v>
      </c>
      <c r="H167" s="34" t="s">
        <v>67</v>
      </c>
      <c r="I167" s="34" t="s">
        <v>32</v>
      </c>
      <c r="J167" s="34" t="s">
        <v>18</v>
      </c>
      <c r="K167" s="34" t="str">
        <f t="shared" si="8"/>
        <v>Bangalore</v>
      </c>
      <c r="L167" t="str">
        <f t="shared" si="11"/>
        <v>Debit Card</v>
      </c>
      <c r="M167" s="34">
        <f t="shared" si="9"/>
        <v>66333</v>
      </c>
      <c r="N167" s="34">
        <f t="shared" si="10"/>
        <v>13</v>
      </c>
    </row>
    <row r="168" spans="1:14" x14ac:dyDescent="0.3">
      <c r="A168" s="31" t="s">
        <v>169</v>
      </c>
      <c r="B168" s="32" t="s">
        <v>111</v>
      </c>
      <c r="C168" s="37" t="s">
        <v>313</v>
      </c>
      <c r="D168" s="32" t="s">
        <v>26</v>
      </c>
      <c r="E168" s="32" t="s">
        <v>11</v>
      </c>
      <c r="F168" s="32">
        <v>4</v>
      </c>
      <c r="G168" s="32">
        <v>22111</v>
      </c>
      <c r="H168" s="32" t="s">
        <v>19</v>
      </c>
      <c r="I168" s="32" t="s">
        <v>27</v>
      </c>
      <c r="J168" s="32" t="s">
        <v>15</v>
      </c>
      <c r="K168" s="34" t="str">
        <f t="shared" si="8"/>
        <v>Chennai</v>
      </c>
      <c r="L168" t="str">
        <f t="shared" si="11"/>
        <v>Net Banking</v>
      </c>
      <c r="M168" s="34">
        <f t="shared" si="9"/>
        <v>88444</v>
      </c>
      <c r="N168" s="34">
        <f t="shared" si="10"/>
        <v>24</v>
      </c>
    </row>
    <row r="169" spans="1:14" x14ac:dyDescent="0.3">
      <c r="A169" s="33" t="s">
        <v>170</v>
      </c>
      <c r="B169" s="34" t="s">
        <v>101</v>
      </c>
      <c r="C169" s="38" t="s">
        <v>381</v>
      </c>
      <c r="D169" s="34" t="s">
        <v>22</v>
      </c>
      <c r="E169" s="34" t="s">
        <v>23</v>
      </c>
      <c r="F169" s="34">
        <v>4</v>
      </c>
      <c r="G169" s="34">
        <v>711</v>
      </c>
      <c r="H169" s="34" t="s">
        <v>24</v>
      </c>
      <c r="I169" s="34" t="s">
        <v>14</v>
      </c>
      <c r="J169" s="34" t="s">
        <v>21</v>
      </c>
      <c r="K169" s="34" t="str">
        <f t="shared" si="8"/>
        <v>Pune</v>
      </c>
      <c r="L169" t="str">
        <f t="shared" si="11"/>
        <v>Debit Card</v>
      </c>
      <c r="M169" s="34">
        <f t="shared" si="9"/>
        <v>2844</v>
      </c>
      <c r="N169" s="34">
        <f t="shared" si="10"/>
        <v>13</v>
      </c>
    </row>
    <row r="170" spans="1:14" x14ac:dyDescent="0.3">
      <c r="A170" s="31" t="s">
        <v>171</v>
      </c>
      <c r="B170" s="32" t="s">
        <v>70</v>
      </c>
      <c r="C170" s="37" t="s">
        <v>411</v>
      </c>
      <c r="D170" s="32" t="s">
        <v>10</v>
      </c>
      <c r="E170" s="32" t="s">
        <v>11</v>
      </c>
      <c r="F170" s="32">
        <v>1</v>
      </c>
      <c r="G170" s="32">
        <v>22111</v>
      </c>
      <c r="H170" s="32" t="s">
        <v>13</v>
      </c>
      <c r="I170" s="32" t="s">
        <v>20</v>
      </c>
      <c r="J170" s="32" t="s">
        <v>18</v>
      </c>
      <c r="K170" s="34" t="str">
        <f t="shared" si="8"/>
        <v>Delhi</v>
      </c>
      <c r="L170" t="str">
        <f t="shared" si="11"/>
        <v>Credit Card</v>
      </c>
      <c r="M170" s="34">
        <f t="shared" si="9"/>
        <v>22111</v>
      </c>
      <c r="N170" s="34">
        <f t="shared" si="10"/>
        <v>14</v>
      </c>
    </row>
    <row r="171" spans="1:14" x14ac:dyDescent="0.3">
      <c r="A171" s="33" t="s">
        <v>172</v>
      </c>
      <c r="B171" s="34" t="s">
        <v>70</v>
      </c>
      <c r="C171" s="38" t="s">
        <v>412</v>
      </c>
      <c r="D171" s="34" t="s">
        <v>30</v>
      </c>
      <c r="E171" s="34" t="s">
        <v>31</v>
      </c>
      <c r="F171" s="34">
        <v>3</v>
      </c>
      <c r="G171" s="34">
        <v>9111</v>
      </c>
      <c r="H171" s="34" t="s">
        <v>65</v>
      </c>
      <c r="I171" s="34" t="s">
        <v>27</v>
      </c>
      <c r="J171" s="34" t="s">
        <v>21</v>
      </c>
      <c r="K171" s="34" t="str">
        <f t="shared" si="8"/>
        <v>Unknown</v>
      </c>
      <c r="L171" t="str">
        <f t="shared" si="11"/>
        <v>UPI</v>
      </c>
      <c r="M171" s="34">
        <f t="shared" si="9"/>
        <v>27333</v>
      </c>
      <c r="N171" s="34">
        <f t="shared" si="10"/>
        <v>22</v>
      </c>
    </row>
    <row r="172" spans="1:14" x14ac:dyDescent="0.3">
      <c r="A172" s="31" t="s">
        <v>172</v>
      </c>
      <c r="B172" s="32" t="s">
        <v>76</v>
      </c>
      <c r="C172" s="37" t="s">
        <v>325</v>
      </c>
      <c r="D172" s="32" t="s">
        <v>10</v>
      </c>
      <c r="E172" s="32" t="s">
        <v>11</v>
      </c>
      <c r="F172" s="32">
        <v>3</v>
      </c>
      <c r="G172" s="32">
        <v>15111</v>
      </c>
      <c r="H172" s="32" t="s">
        <v>17</v>
      </c>
      <c r="I172" s="32" t="s">
        <v>14</v>
      </c>
      <c r="J172" s="32" t="s">
        <v>18</v>
      </c>
      <c r="K172" s="34" t="str">
        <f t="shared" si="8"/>
        <v>Mumbai</v>
      </c>
      <c r="L172" t="str">
        <f t="shared" si="11"/>
        <v>Debit Card</v>
      </c>
      <c r="M172" s="34">
        <f t="shared" si="9"/>
        <v>45333</v>
      </c>
      <c r="N172" s="34">
        <f t="shared" si="10"/>
        <v>17</v>
      </c>
    </row>
    <row r="173" spans="1:14" x14ac:dyDescent="0.3">
      <c r="A173" s="33" t="s">
        <v>175</v>
      </c>
      <c r="B173" s="34" t="s">
        <v>118</v>
      </c>
      <c r="C173" s="38" t="s">
        <v>391</v>
      </c>
      <c r="D173" s="34" t="s">
        <v>22</v>
      </c>
      <c r="E173" s="34" t="s">
        <v>23</v>
      </c>
      <c r="F173" s="34">
        <v>3</v>
      </c>
      <c r="G173" s="34">
        <v>711</v>
      </c>
      <c r="H173" s="34" t="s">
        <v>29</v>
      </c>
      <c r="I173" s="34" t="s">
        <v>27</v>
      </c>
      <c r="J173" s="34" t="s">
        <v>15</v>
      </c>
      <c r="K173" s="34" t="str">
        <f t="shared" si="8"/>
        <v>Kolkata</v>
      </c>
      <c r="L173" t="str">
        <f t="shared" si="11"/>
        <v>Credit Card</v>
      </c>
      <c r="M173" s="34">
        <f t="shared" si="9"/>
        <v>2133</v>
      </c>
      <c r="N173" s="34">
        <f t="shared" si="10"/>
        <v>15</v>
      </c>
    </row>
    <row r="174" spans="1:14" x14ac:dyDescent="0.3">
      <c r="A174" s="31" t="s">
        <v>176</v>
      </c>
      <c r="B174" s="32" t="s">
        <v>97</v>
      </c>
      <c r="C174" s="37" t="s">
        <v>378</v>
      </c>
      <c r="D174" s="32" t="s">
        <v>30</v>
      </c>
      <c r="E174" s="32" t="s">
        <v>31</v>
      </c>
      <c r="F174" s="32">
        <v>2</v>
      </c>
      <c r="G174" s="32">
        <v>9111</v>
      </c>
      <c r="H174" s="32" t="s">
        <v>29</v>
      </c>
      <c r="I174" s="32" t="s">
        <v>25</v>
      </c>
      <c r="J174" s="32" t="s">
        <v>21</v>
      </c>
      <c r="K174" s="34" t="str">
        <f t="shared" si="8"/>
        <v>Kolkata</v>
      </c>
      <c r="L174" t="str">
        <f t="shared" si="11"/>
        <v>Debit Card</v>
      </c>
      <c r="M174" s="34">
        <f t="shared" si="9"/>
        <v>18222</v>
      </c>
      <c r="N174" s="34">
        <f t="shared" si="10"/>
        <v>18</v>
      </c>
    </row>
    <row r="175" spans="1:14" x14ac:dyDescent="0.3">
      <c r="A175" s="33" t="s">
        <v>177</v>
      </c>
      <c r="B175" s="34" t="s">
        <v>211</v>
      </c>
      <c r="C175" s="38" t="s">
        <v>412</v>
      </c>
      <c r="D175" s="34" t="s">
        <v>36</v>
      </c>
      <c r="E175" s="34" t="s">
        <v>23</v>
      </c>
      <c r="F175" s="34">
        <v>3</v>
      </c>
      <c r="G175" s="34">
        <v>3511</v>
      </c>
      <c r="H175" s="34" t="s">
        <v>35</v>
      </c>
      <c r="I175" s="34" t="s">
        <v>32</v>
      </c>
      <c r="J175" s="34" t="s">
        <v>15</v>
      </c>
      <c r="K175" s="34" t="str">
        <f t="shared" si="8"/>
        <v>Hyderabad</v>
      </c>
      <c r="L175" t="str">
        <f t="shared" si="11"/>
        <v>Cash</v>
      </c>
      <c r="M175" s="34">
        <f t="shared" si="9"/>
        <v>10533</v>
      </c>
      <c r="N175" s="34">
        <f t="shared" si="10"/>
        <v>22</v>
      </c>
    </row>
    <row r="176" spans="1:14" x14ac:dyDescent="0.3">
      <c r="A176" s="31" t="s">
        <v>178</v>
      </c>
      <c r="B176" s="32" t="s">
        <v>146</v>
      </c>
      <c r="C176" s="37" t="s">
        <v>413</v>
      </c>
      <c r="D176" s="32" t="s">
        <v>26</v>
      </c>
      <c r="E176" s="32" t="s">
        <v>11</v>
      </c>
      <c r="F176" s="32">
        <v>4</v>
      </c>
      <c r="G176" s="32">
        <v>12111</v>
      </c>
      <c r="H176" s="32" t="s">
        <v>67</v>
      </c>
      <c r="I176" s="32" t="s">
        <v>25</v>
      </c>
      <c r="J176" s="32" t="s">
        <v>18</v>
      </c>
      <c r="K176" s="34" t="str">
        <f t="shared" si="8"/>
        <v>Bangalore</v>
      </c>
      <c r="L176" t="str">
        <f t="shared" si="11"/>
        <v>Net Banking</v>
      </c>
      <c r="M176" s="34">
        <f t="shared" si="9"/>
        <v>48444</v>
      </c>
      <c r="N176" s="34">
        <f t="shared" si="10"/>
        <v>25</v>
      </c>
    </row>
    <row r="177" spans="1:14" x14ac:dyDescent="0.3">
      <c r="A177" s="33" t="s">
        <v>180</v>
      </c>
      <c r="B177" s="34" t="s">
        <v>120</v>
      </c>
      <c r="C177" s="38" t="s">
        <v>325</v>
      </c>
      <c r="D177" s="34" t="s">
        <v>10</v>
      </c>
      <c r="E177" s="34" t="s">
        <v>11</v>
      </c>
      <c r="F177" s="34">
        <v>4</v>
      </c>
      <c r="G177" s="34">
        <v>22111</v>
      </c>
      <c r="H177" s="34" t="s">
        <v>35</v>
      </c>
      <c r="I177" s="34" t="s">
        <v>39</v>
      </c>
      <c r="J177" s="34" t="s">
        <v>18</v>
      </c>
      <c r="K177" s="34" t="str">
        <f t="shared" si="8"/>
        <v>Hyderabad</v>
      </c>
      <c r="L177" t="str">
        <f t="shared" si="11"/>
        <v>Cash</v>
      </c>
      <c r="M177" s="34">
        <f t="shared" si="9"/>
        <v>88444</v>
      </c>
      <c r="N177" s="34">
        <f t="shared" si="10"/>
        <v>17</v>
      </c>
    </row>
    <row r="178" spans="1:14" x14ac:dyDescent="0.3">
      <c r="A178" s="31" t="s">
        <v>182</v>
      </c>
      <c r="B178" s="32" t="s">
        <v>174</v>
      </c>
      <c r="C178" s="37" t="s">
        <v>329</v>
      </c>
      <c r="D178" s="32" t="s">
        <v>34</v>
      </c>
      <c r="E178" s="32" t="s">
        <v>11</v>
      </c>
      <c r="F178" s="32">
        <v>1</v>
      </c>
      <c r="G178" s="32">
        <v>18111</v>
      </c>
      <c r="H178" s="32" t="s">
        <v>19</v>
      </c>
      <c r="I178" s="32" t="s">
        <v>27</v>
      </c>
      <c r="J178" s="32" t="s">
        <v>18</v>
      </c>
      <c r="K178" s="34" t="str">
        <f t="shared" si="8"/>
        <v>Chennai</v>
      </c>
      <c r="L178" t="str">
        <f t="shared" si="11"/>
        <v>UPI</v>
      </c>
      <c r="M178" s="34">
        <f t="shared" si="9"/>
        <v>18111</v>
      </c>
      <c r="N178" s="34">
        <f t="shared" si="10"/>
        <v>16</v>
      </c>
    </row>
    <row r="179" spans="1:14" x14ac:dyDescent="0.3">
      <c r="A179" s="33" t="s">
        <v>184</v>
      </c>
      <c r="B179" s="34" t="s">
        <v>78</v>
      </c>
      <c r="C179" s="38" t="s">
        <v>414</v>
      </c>
      <c r="D179" s="34" t="s">
        <v>10</v>
      </c>
      <c r="E179" s="34" t="s">
        <v>11</v>
      </c>
      <c r="F179" s="34">
        <v>1</v>
      </c>
      <c r="G179" s="34">
        <v>31111</v>
      </c>
      <c r="H179" s="34" t="s">
        <v>17</v>
      </c>
      <c r="I179" s="34" t="s">
        <v>27</v>
      </c>
      <c r="J179" s="34" t="s">
        <v>15</v>
      </c>
      <c r="K179" s="34" t="str">
        <f t="shared" si="8"/>
        <v>Mumbai</v>
      </c>
      <c r="L179" t="str">
        <f t="shared" si="11"/>
        <v>Debit Card</v>
      </c>
      <c r="M179" s="34">
        <f t="shared" si="9"/>
        <v>31111</v>
      </c>
      <c r="N179" s="34">
        <f t="shared" si="10"/>
        <v>21</v>
      </c>
    </row>
    <row r="180" spans="1:14" x14ac:dyDescent="0.3">
      <c r="A180" s="31" t="s">
        <v>185</v>
      </c>
      <c r="B180" s="32" t="s">
        <v>129</v>
      </c>
      <c r="C180" s="37" t="s">
        <v>415</v>
      </c>
      <c r="D180" s="32" t="s">
        <v>30</v>
      </c>
      <c r="E180" s="32" t="s">
        <v>31</v>
      </c>
      <c r="F180" s="32">
        <v>1</v>
      </c>
      <c r="G180" s="32">
        <v>6511</v>
      </c>
      <c r="H180" s="32" t="s">
        <v>67</v>
      </c>
      <c r="I180" s="32" t="s">
        <v>32</v>
      </c>
      <c r="J180" s="32" t="s">
        <v>18</v>
      </c>
      <c r="K180" s="34" t="str">
        <f t="shared" si="8"/>
        <v>Bangalore</v>
      </c>
      <c r="L180" t="str">
        <f t="shared" si="11"/>
        <v>Debit Card</v>
      </c>
      <c r="M180" s="34">
        <f t="shared" si="9"/>
        <v>6511</v>
      </c>
      <c r="N180" s="34">
        <f t="shared" si="10"/>
        <v>25</v>
      </c>
    </row>
    <row r="181" spans="1:14" x14ac:dyDescent="0.3">
      <c r="A181" s="33" t="s">
        <v>186</v>
      </c>
      <c r="B181" s="34" t="s">
        <v>148</v>
      </c>
      <c r="C181" s="38" t="s">
        <v>314</v>
      </c>
      <c r="D181" s="34" t="s">
        <v>26</v>
      </c>
      <c r="E181" s="34" t="s">
        <v>11</v>
      </c>
      <c r="F181" s="34">
        <v>4</v>
      </c>
      <c r="G181" s="34">
        <v>16111</v>
      </c>
      <c r="H181" s="34" t="s">
        <v>13</v>
      </c>
      <c r="I181" s="34" t="s">
        <v>14</v>
      </c>
      <c r="J181" s="34" t="s">
        <v>21</v>
      </c>
      <c r="K181" s="34" t="str">
        <f t="shared" si="8"/>
        <v>Delhi</v>
      </c>
      <c r="L181" t="str">
        <f t="shared" si="11"/>
        <v>Net Banking</v>
      </c>
      <c r="M181" s="34">
        <f t="shared" si="9"/>
        <v>64444</v>
      </c>
      <c r="N181" s="34">
        <f t="shared" si="10"/>
        <v>12</v>
      </c>
    </row>
    <row r="182" spans="1:14" x14ac:dyDescent="0.3">
      <c r="A182" s="31" t="s">
        <v>186</v>
      </c>
      <c r="B182" s="32" t="s">
        <v>90</v>
      </c>
      <c r="C182" s="37" t="s">
        <v>416</v>
      </c>
      <c r="D182" s="32" t="s">
        <v>28</v>
      </c>
      <c r="E182" s="32" t="s">
        <v>23</v>
      </c>
      <c r="F182" s="32">
        <v>2</v>
      </c>
      <c r="G182" s="32">
        <v>1211</v>
      </c>
      <c r="H182" s="32" t="s">
        <v>19</v>
      </c>
      <c r="I182" s="32" t="s">
        <v>25</v>
      </c>
      <c r="J182" s="32" t="s">
        <v>15</v>
      </c>
      <c r="K182" s="34" t="str">
        <f t="shared" si="8"/>
        <v>Chennai</v>
      </c>
      <c r="L182" t="str">
        <f t="shared" si="11"/>
        <v>Credit Card</v>
      </c>
      <c r="M182" s="34">
        <f t="shared" si="9"/>
        <v>2422</v>
      </c>
      <c r="N182" s="34">
        <f t="shared" si="10"/>
        <v>24</v>
      </c>
    </row>
    <row r="183" spans="1:14" x14ac:dyDescent="0.3">
      <c r="A183" s="33" t="s">
        <v>187</v>
      </c>
      <c r="B183" s="34" t="s">
        <v>70</v>
      </c>
      <c r="C183" s="38" t="s">
        <v>383</v>
      </c>
      <c r="D183" s="34" t="s">
        <v>28</v>
      </c>
      <c r="E183" s="34" t="s">
        <v>23</v>
      </c>
      <c r="F183" s="34">
        <v>4</v>
      </c>
      <c r="G183" s="34">
        <v>1811</v>
      </c>
      <c r="H183" s="34" t="s">
        <v>17</v>
      </c>
      <c r="I183" s="34" t="s">
        <v>27</v>
      </c>
      <c r="J183" s="34" t="s">
        <v>18</v>
      </c>
      <c r="K183" s="34" t="str">
        <f t="shared" si="8"/>
        <v>Mumbai</v>
      </c>
      <c r="L183" t="str">
        <f t="shared" si="11"/>
        <v>Cash</v>
      </c>
      <c r="M183" s="34">
        <f t="shared" si="9"/>
        <v>7244</v>
      </c>
      <c r="N183" s="34">
        <f t="shared" si="10"/>
        <v>23</v>
      </c>
    </row>
    <row r="184" spans="1:14" x14ac:dyDescent="0.3">
      <c r="A184" s="31" t="s">
        <v>188</v>
      </c>
      <c r="B184" s="32" t="s">
        <v>86</v>
      </c>
      <c r="C184" s="37" t="s">
        <v>405</v>
      </c>
      <c r="D184" s="32" t="s">
        <v>28</v>
      </c>
      <c r="E184" s="32" t="s">
        <v>23</v>
      </c>
      <c r="F184" s="32">
        <v>4</v>
      </c>
      <c r="G184" s="32">
        <v>1811</v>
      </c>
      <c r="H184" s="32" t="s">
        <v>29</v>
      </c>
      <c r="I184" s="32" t="s">
        <v>27</v>
      </c>
      <c r="J184" s="32" t="s">
        <v>18</v>
      </c>
      <c r="K184" s="34" t="str">
        <f t="shared" si="8"/>
        <v>Kolkata</v>
      </c>
      <c r="L184" t="str">
        <f t="shared" si="11"/>
        <v>Debit Card</v>
      </c>
      <c r="M184" s="34">
        <f t="shared" si="9"/>
        <v>7244</v>
      </c>
      <c r="N184" s="34">
        <f t="shared" si="10"/>
        <v>28</v>
      </c>
    </row>
    <row r="185" spans="1:14" x14ac:dyDescent="0.3">
      <c r="A185" s="33" t="s">
        <v>190</v>
      </c>
      <c r="B185" s="34" t="s">
        <v>155</v>
      </c>
      <c r="C185" s="38" t="s">
        <v>389</v>
      </c>
      <c r="D185" s="34" t="s">
        <v>36</v>
      </c>
      <c r="E185" s="34" t="s">
        <v>23</v>
      </c>
      <c r="F185" s="34">
        <v>3</v>
      </c>
      <c r="G185" s="34">
        <v>2511</v>
      </c>
      <c r="H185" s="34" t="s">
        <v>17</v>
      </c>
      <c r="I185" s="34" t="s">
        <v>32</v>
      </c>
      <c r="J185" s="34" t="s">
        <v>18</v>
      </c>
      <c r="K185" s="34" t="str">
        <f t="shared" si="8"/>
        <v>Mumbai</v>
      </c>
      <c r="L185" t="str">
        <f t="shared" si="11"/>
        <v>Debit Card</v>
      </c>
      <c r="M185" s="34">
        <f t="shared" si="9"/>
        <v>7533</v>
      </c>
      <c r="N185" s="34">
        <f t="shared" si="10"/>
        <v>11</v>
      </c>
    </row>
    <row r="186" spans="1:14" x14ac:dyDescent="0.3">
      <c r="A186" s="31" t="s">
        <v>191</v>
      </c>
      <c r="B186" s="32" t="s">
        <v>179</v>
      </c>
      <c r="C186" s="37" t="s">
        <v>417</v>
      </c>
      <c r="D186" s="32" t="s">
        <v>34</v>
      </c>
      <c r="E186" s="32" t="s">
        <v>11</v>
      </c>
      <c r="F186" s="32">
        <v>2</v>
      </c>
      <c r="G186" s="32">
        <v>18111</v>
      </c>
      <c r="H186" s="32" t="s">
        <v>17</v>
      </c>
      <c r="I186" s="32" t="s">
        <v>27</v>
      </c>
      <c r="J186" s="32" t="s">
        <v>18</v>
      </c>
      <c r="K186" s="34" t="str">
        <f t="shared" si="8"/>
        <v>Mumbai</v>
      </c>
      <c r="L186" t="str">
        <f t="shared" si="11"/>
        <v>Net Banking</v>
      </c>
      <c r="M186" s="34">
        <f t="shared" si="9"/>
        <v>36222</v>
      </c>
      <c r="N186" s="34">
        <f t="shared" si="10"/>
        <v>28</v>
      </c>
    </row>
    <row r="187" spans="1:14" x14ac:dyDescent="0.3">
      <c r="A187" s="33" t="s">
        <v>192</v>
      </c>
      <c r="B187" s="34" t="s">
        <v>146</v>
      </c>
      <c r="C187" s="38" t="s">
        <v>366</v>
      </c>
      <c r="D187" s="34" t="s">
        <v>16</v>
      </c>
      <c r="E187" s="34" t="s">
        <v>11</v>
      </c>
      <c r="F187" s="34">
        <v>3</v>
      </c>
      <c r="G187" s="34">
        <v>45111</v>
      </c>
      <c r="H187" s="34" t="s">
        <v>35</v>
      </c>
      <c r="I187" s="34" t="s">
        <v>25</v>
      </c>
      <c r="J187" s="34" t="s">
        <v>15</v>
      </c>
      <c r="K187" s="34" t="str">
        <f t="shared" si="8"/>
        <v>Hyderabad</v>
      </c>
      <c r="L187" t="str">
        <f t="shared" si="11"/>
        <v>Debit Card</v>
      </c>
      <c r="M187" s="34">
        <f t="shared" si="9"/>
        <v>135333</v>
      </c>
      <c r="N187" s="34">
        <f t="shared" si="10"/>
        <v>11</v>
      </c>
    </row>
    <row r="188" spans="1:14" x14ac:dyDescent="0.3">
      <c r="A188" s="31" t="s">
        <v>193</v>
      </c>
      <c r="B188" s="32" t="s">
        <v>143</v>
      </c>
      <c r="C188" s="37" t="s">
        <v>312</v>
      </c>
      <c r="D188" s="32" t="s">
        <v>10</v>
      </c>
      <c r="E188" s="32" t="s">
        <v>11</v>
      </c>
      <c r="F188" s="32">
        <v>1</v>
      </c>
      <c r="G188" s="32">
        <v>31111</v>
      </c>
      <c r="H188" s="32" t="s">
        <v>35</v>
      </c>
      <c r="I188" s="32" t="s">
        <v>32</v>
      </c>
      <c r="J188" s="32" t="s">
        <v>21</v>
      </c>
      <c r="K188" s="34" t="str">
        <f t="shared" si="8"/>
        <v>Hyderabad</v>
      </c>
      <c r="L188" t="str">
        <f t="shared" si="11"/>
        <v>Cash</v>
      </c>
      <c r="M188" s="34">
        <f t="shared" si="9"/>
        <v>31111</v>
      </c>
      <c r="N188" s="34">
        <f t="shared" si="10"/>
        <v>17</v>
      </c>
    </row>
    <row r="189" spans="1:14" x14ac:dyDescent="0.3">
      <c r="A189" s="33" t="s">
        <v>194</v>
      </c>
      <c r="B189" s="34" t="s">
        <v>92</v>
      </c>
      <c r="C189" s="38" t="s">
        <v>393</v>
      </c>
      <c r="D189" s="34" t="s">
        <v>10</v>
      </c>
      <c r="E189" s="34" t="s">
        <v>11</v>
      </c>
      <c r="F189" s="34">
        <v>1</v>
      </c>
      <c r="G189" s="34">
        <v>31111</v>
      </c>
      <c r="H189" s="34" t="s">
        <v>67</v>
      </c>
      <c r="I189" s="34" t="s">
        <v>27</v>
      </c>
      <c r="J189" s="34" t="s">
        <v>15</v>
      </c>
      <c r="K189" s="34" t="str">
        <f t="shared" si="8"/>
        <v>Bangalore</v>
      </c>
      <c r="L189" t="str">
        <f t="shared" si="11"/>
        <v>Net Banking</v>
      </c>
      <c r="M189" s="34">
        <f t="shared" si="9"/>
        <v>31111</v>
      </c>
      <c r="N189" s="34">
        <f t="shared" si="10"/>
        <v>11</v>
      </c>
    </row>
    <row r="190" spans="1:14" x14ac:dyDescent="0.3">
      <c r="A190" s="31" t="s">
        <v>195</v>
      </c>
      <c r="B190" s="32" t="s">
        <v>218</v>
      </c>
      <c r="C190" s="37" t="s">
        <v>418</v>
      </c>
      <c r="D190" s="32" t="s">
        <v>30</v>
      </c>
      <c r="E190" s="32" t="s">
        <v>31</v>
      </c>
      <c r="F190" s="32">
        <v>3</v>
      </c>
      <c r="G190" s="32">
        <v>9111</v>
      </c>
      <c r="H190" s="32" t="s">
        <v>17</v>
      </c>
      <c r="I190" s="32" t="s">
        <v>14</v>
      </c>
      <c r="J190" s="32" t="s">
        <v>15</v>
      </c>
      <c r="K190" s="34" t="str">
        <f t="shared" si="8"/>
        <v>Mumbai</v>
      </c>
      <c r="L190" t="str">
        <f t="shared" si="11"/>
        <v>Debit Card</v>
      </c>
      <c r="M190" s="34">
        <f t="shared" si="9"/>
        <v>27333</v>
      </c>
      <c r="N190" s="34">
        <f t="shared" si="10"/>
        <v>26</v>
      </c>
    </row>
    <row r="191" spans="1:14" x14ac:dyDescent="0.3">
      <c r="A191" s="33" t="s">
        <v>196</v>
      </c>
      <c r="B191" s="34" t="s">
        <v>92</v>
      </c>
      <c r="C191" s="38" t="s">
        <v>365</v>
      </c>
      <c r="D191" s="34" t="s">
        <v>16</v>
      </c>
      <c r="E191" s="34" t="s">
        <v>11</v>
      </c>
      <c r="F191" s="34">
        <v>3</v>
      </c>
      <c r="G191" s="40">
        <v>61111</v>
      </c>
      <c r="H191" s="34" t="s">
        <v>19</v>
      </c>
      <c r="I191" s="34" t="s">
        <v>20</v>
      </c>
      <c r="J191" s="34" t="s">
        <v>18</v>
      </c>
      <c r="K191" s="34" t="str">
        <f t="shared" si="8"/>
        <v>Chennai</v>
      </c>
      <c r="L191" t="str">
        <f t="shared" si="11"/>
        <v>Credit Card</v>
      </c>
      <c r="M191" s="34">
        <f t="shared" si="9"/>
        <v>183333</v>
      </c>
      <c r="N191" s="34">
        <f t="shared" si="10"/>
        <v>11</v>
      </c>
    </row>
    <row r="192" spans="1:14" x14ac:dyDescent="0.3">
      <c r="A192" s="31" t="s">
        <v>196</v>
      </c>
      <c r="B192" s="32" t="s">
        <v>127</v>
      </c>
      <c r="C192" s="37" t="s">
        <v>383</v>
      </c>
      <c r="D192" s="32" t="s">
        <v>36</v>
      </c>
      <c r="E192" s="32" t="s">
        <v>23</v>
      </c>
      <c r="F192" s="32">
        <v>2</v>
      </c>
      <c r="G192" s="32">
        <v>2511</v>
      </c>
      <c r="H192" s="32" t="s">
        <v>24</v>
      </c>
      <c r="I192" s="32" t="s">
        <v>25</v>
      </c>
      <c r="J192" s="32" t="s">
        <v>18</v>
      </c>
      <c r="K192" s="34" t="str">
        <f t="shared" si="8"/>
        <v>Pune</v>
      </c>
      <c r="L192" t="str">
        <f t="shared" si="11"/>
        <v>UPI</v>
      </c>
      <c r="M192" s="34">
        <f t="shared" si="9"/>
        <v>5022</v>
      </c>
      <c r="N192" s="34">
        <f t="shared" si="10"/>
        <v>23</v>
      </c>
    </row>
    <row r="193" spans="1:14" x14ac:dyDescent="0.3">
      <c r="A193" s="33" t="s">
        <v>198</v>
      </c>
      <c r="B193" s="34" t="s">
        <v>118</v>
      </c>
      <c r="C193" s="38" t="s">
        <v>333</v>
      </c>
      <c r="D193" s="34" t="s">
        <v>30</v>
      </c>
      <c r="E193" s="34" t="s">
        <v>31</v>
      </c>
      <c r="F193" s="34">
        <v>1</v>
      </c>
      <c r="G193" s="34">
        <v>6511</v>
      </c>
      <c r="H193" s="34" t="s">
        <v>13</v>
      </c>
      <c r="I193" s="34" t="s">
        <v>25</v>
      </c>
      <c r="J193" s="34" t="s">
        <v>21</v>
      </c>
      <c r="K193" s="34" t="str">
        <f t="shared" si="8"/>
        <v>Delhi</v>
      </c>
      <c r="L193" t="str">
        <f t="shared" si="11"/>
        <v>Cash</v>
      </c>
      <c r="M193" s="34">
        <f t="shared" si="9"/>
        <v>6511</v>
      </c>
      <c r="N193" s="34">
        <f t="shared" si="10"/>
        <v>25</v>
      </c>
    </row>
    <row r="194" spans="1:14" x14ac:dyDescent="0.3">
      <c r="A194" s="31" t="s">
        <v>200</v>
      </c>
      <c r="B194" s="32" t="s">
        <v>123</v>
      </c>
      <c r="C194" s="37" t="s">
        <v>419</v>
      </c>
      <c r="D194" s="32" t="s">
        <v>26</v>
      </c>
      <c r="E194" s="32" t="s">
        <v>11</v>
      </c>
      <c r="F194" s="32">
        <v>1</v>
      </c>
      <c r="G194" s="32">
        <v>16111</v>
      </c>
      <c r="H194" s="32" t="s">
        <v>17</v>
      </c>
      <c r="I194" s="32" t="s">
        <v>32</v>
      </c>
      <c r="J194" s="32" t="s">
        <v>18</v>
      </c>
      <c r="K194" s="34" t="str">
        <f t="shared" ref="K194:K257" si="12">PROPER(TRIM(H194))</f>
        <v>Mumbai</v>
      </c>
      <c r="L194" t="str">
        <f t="shared" si="11"/>
        <v>Cash</v>
      </c>
      <c r="M194" s="34">
        <f t="shared" ref="M194:M257" si="13">IFERROR(F194*G194,0)</f>
        <v>16111</v>
      </c>
      <c r="N194" s="34">
        <f t="shared" ref="N194:N257" si="14">IFERROR(VALUE(LEFT(C194,2)),"")</f>
        <v>22</v>
      </c>
    </row>
    <row r="195" spans="1:14" x14ac:dyDescent="0.3">
      <c r="A195" s="33" t="s">
        <v>201</v>
      </c>
      <c r="B195" s="34" t="s">
        <v>219</v>
      </c>
      <c r="C195" s="38" t="s">
        <v>320</v>
      </c>
      <c r="D195" s="34" t="s">
        <v>26</v>
      </c>
      <c r="E195" s="34" t="s">
        <v>11</v>
      </c>
      <c r="F195" s="34">
        <v>1</v>
      </c>
      <c r="G195" s="34">
        <v>12111</v>
      </c>
      <c r="H195" s="34" t="s">
        <v>67</v>
      </c>
      <c r="I195" s="34" t="s">
        <v>14</v>
      </c>
      <c r="J195" s="34" t="s">
        <v>21</v>
      </c>
      <c r="K195" s="34" t="str">
        <f t="shared" si="12"/>
        <v>Bangalore</v>
      </c>
      <c r="L195" t="str">
        <f t="shared" si="11"/>
        <v>Net Banking</v>
      </c>
      <c r="M195" s="34">
        <f t="shared" si="13"/>
        <v>12111</v>
      </c>
      <c r="N195" s="34">
        <f t="shared" si="14"/>
        <v>11</v>
      </c>
    </row>
    <row r="196" spans="1:14" x14ac:dyDescent="0.3">
      <c r="A196" s="31" t="s">
        <v>202</v>
      </c>
      <c r="B196" s="32" t="s">
        <v>127</v>
      </c>
      <c r="C196" s="37" t="s">
        <v>420</v>
      </c>
      <c r="D196" s="32" t="s">
        <v>22</v>
      </c>
      <c r="E196" s="32" t="s">
        <v>23</v>
      </c>
      <c r="F196" s="32">
        <v>2</v>
      </c>
      <c r="G196" s="32">
        <v>411</v>
      </c>
      <c r="H196" s="32" t="s">
        <v>24</v>
      </c>
      <c r="I196" s="32" t="s">
        <v>14</v>
      </c>
      <c r="J196" s="32" t="s">
        <v>18</v>
      </c>
      <c r="K196" s="34" t="str">
        <f t="shared" si="12"/>
        <v>Pune</v>
      </c>
      <c r="L196" t="str">
        <f t="shared" ref="L196:L259" si="15">IF(UPPER(TRIM(I195))="UPI","UPI",PROPER(TRIM(I195)))</f>
        <v>Credit Card</v>
      </c>
      <c r="M196" s="34">
        <f t="shared" si="13"/>
        <v>822</v>
      </c>
      <c r="N196" s="34">
        <f t="shared" si="14"/>
        <v>22</v>
      </c>
    </row>
    <row r="197" spans="1:14" x14ac:dyDescent="0.3">
      <c r="A197" s="33" t="s">
        <v>203</v>
      </c>
      <c r="B197" s="34" t="s">
        <v>146</v>
      </c>
      <c r="C197" s="38" t="s">
        <v>362</v>
      </c>
      <c r="D197" s="34" t="s">
        <v>10</v>
      </c>
      <c r="E197" s="34" t="s">
        <v>11</v>
      </c>
      <c r="F197" s="34">
        <v>1</v>
      </c>
      <c r="G197" s="34">
        <v>22111</v>
      </c>
      <c r="H197" s="34" t="s">
        <v>29</v>
      </c>
      <c r="I197" s="34" t="s">
        <v>20</v>
      </c>
      <c r="J197" s="34" t="s">
        <v>18</v>
      </c>
      <c r="K197" s="34" t="str">
        <f t="shared" si="12"/>
        <v>Kolkata</v>
      </c>
      <c r="L197" t="str">
        <f t="shared" si="15"/>
        <v>Credit Card</v>
      </c>
      <c r="M197" s="34">
        <f t="shared" si="13"/>
        <v>22111</v>
      </c>
      <c r="N197" s="34">
        <f t="shared" si="14"/>
        <v>15</v>
      </c>
    </row>
    <row r="198" spans="1:14" x14ac:dyDescent="0.3">
      <c r="A198" s="31" t="s">
        <v>204</v>
      </c>
      <c r="B198" s="32" t="s">
        <v>149</v>
      </c>
      <c r="C198" s="37" t="s">
        <v>379</v>
      </c>
      <c r="D198" s="32" t="s">
        <v>36</v>
      </c>
      <c r="E198" s="32" t="s">
        <v>23</v>
      </c>
      <c r="F198" s="32">
        <v>4</v>
      </c>
      <c r="G198" s="32">
        <v>3511</v>
      </c>
      <c r="H198" s="32" t="s">
        <v>17</v>
      </c>
      <c r="I198" s="32" t="s">
        <v>25</v>
      </c>
      <c r="J198" s="32" t="s">
        <v>15</v>
      </c>
      <c r="K198" s="34" t="str">
        <f t="shared" si="12"/>
        <v>Mumbai</v>
      </c>
      <c r="L198" t="str">
        <f t="shared" si="15"/>
        <v>UPI</v>
      </c>
      <c r="M198" s="34">
        <f t="shared" si="13"/>
        <v>14044</v>
      </c>
      <c r="N198" s="34">
        <f t="shared" si="14"/>
        <v>18</v>
      </c>
    </row>
    <row r="199" spans="1:14" x14ac:dyDescent="0.3">
      <c r="A199" s="33" t="s">
        <v>205</v>
      </c>
      <c r="B199" s="34" t="s">
        <v>213</v>
      </c>
      <c r="C199" s="38" t="s">
        <v>314</v>
      </c>
      <c r="D199" s="34" t="s">
        <v>36</v>
      </c>
      <c r="E199" s="34" t="s">
        <v>23</v>
      </c>
      <c r="F199" s="34">
        <v>1</v>
      </c>
      <c r="G199" s="34">
        <v>3511</v>
      </c>
      <c r="H199" s="34" t="s">
        <v>35</v>
      </c>
      <c r="I199" s="34" t="s">
        <v>14</v>
      </c>
      <c r="J199" s="34" t="s">
        <v>15</v>
      </c>
      <c r="K199" s="34" t="str">
        <f t="shared" si="12"/>
        <v>Hyderabad</v>
      </c>
      <c r="L199" t="str">
        <f t="shared" si="15"/>
        <v>Cash</v>
      </c>
      <c r="M199" s="34">
        <f t="shared" si="13"/>
        <v>3511</v>
      </c>
      <c r="N199" s="34">
        <f t="shared" si="14"/>
        <v>12</v>
      </c>
    </row>
    <row r="200" spans="1:14" x14ac:dyDescent="0.3">
      <c r="A200" s="31" t="s">
        <v>206</v>
      </c>
      <c r="B200" s="32" t="s">
        <v>118</v>
      </c>
      <c r="C200" s="37" t="s">
        <v>354</v>
      </c>
      <c r="D200" s="32" t="s">
        <v>10</v>
      </c>
      <c r="E200" s="32" t="s">
        <v>11</v>
      </c>
      <c r="F200" s="32">
        <v>2</v>
      </c>
      <c r="G200" s="32">
        <v>42111</v>
      </c>
      <c r="H200" s="32" t="s">
        <v>67</v>
      </c>
      <c r="I200" s="32" t="s">
        <v>32</v>
      </c>
      <c r="J200" s="32" t="s">
        <v>21</v>
      </c>
      <c r="K200" s="34" t="str">
        <f t="shared" si="12"/>
        <v>Bangalore</v>
      </c>
      <c r="L200" t="str">
        <f t="shared" si="15"/>
        <v>Credit Card</v>
      </c>
      <c r="M200" s="34">
        <f t="shared" si="13"/>
        <v>84222</v>
      </c>
      <c r="N200" s="34">
        <f t="shared" si="14"/>
        <v>27</v>
      </c>
    </row>
    <row r="201" spans="1:14" x14ac:dyDescent="0.3">
      <c r="A201" s="33" t="s">
        <v>220</v>
      </c>
      <c r="B201" s="34" t="s">
        <v>197</v>
      </c>
      <c r="C201" s="38" t="s">
        <v>421</v>
      </c>
      <c r="D201" s="34" t="s">
        <v>22</v>
      </c>
      <c r="E201" s="34" t="s">
        <v>23</v>
      </c>
      <c r="F201" s="34">
        <v>1</v>
      </c>
      <c r="G201" s="34">
        <v>711</v>
      </c>
      <c r="H201" s="34" t="s">
        <v>13</v>
      </c>
      <c r="I201" s="34" t="s">
        <v>14</v>
      </c>
      <c r="J201" s="34" t="s">
        <v>18</v>
      </c>
      <c r="K201" s="34" t="str">
        <f t="shared" si="12"/>
        <v>Delhi</v>
      </c>
      <c r="L201" t="str">
        <f t="shared" si="15"/>
        <v>Net Banking</v>
      </c>
      <c r="M201" s="34">
        <f t="shared" si="13"/>
        <v>711</v>
      </c>
      <c r="N201" s="34">
        <f t="shared" si="14"/>
        <v>11</v>
      </c>
    </row>
    <row r="202" spans="1:14" x14ac:dyDescent="0.3">
      <c r="A202" s="31" t="s">
        <v>220</v>
      </c>
      <c r="B202" s="32" t="s">
        <v>101</v>
      </c>
      <c r="C202" s="37" t="s">
        <v>422</v>
      </c>
      <c r="D202" s="32" t="s">
        <v>10</v>
      </c>
      <c r="E202" s="32" t="s">
        <v>11</v>
      </c>
      <c r="F202" s="32">
        <v>1</v>
      </c>
      <c r="G202" s="32">
        <v>31111</v>
      </c>
      <c r="H202" s="32" t="s">
        <v>13</v>
      </c>
      <c r="I202" s="32" t="s">
        <v>20</v>
      </c>
      <c r="J202" s="32" t="s">
        <v>21</v>
      </c>
      <c r="K202" s="34" t="str">
        <f t="shared" si="12"/>
        <v>Delhi</v>
      </c>
      <c r="L202" t="str">
        <f t="shared" si="15"/>
        <v>Credit Card</v>
      </c>
      <c r="M202" s="34">
        <f t="shared" si="13"/>
        <v>31111</v>
      </c>
      <c r="N202" s="34">
        <f t="shared" si="14"/>
        <v>31</v>
      </c>
    </row>
    <row r="203" spans="1:14" x14ac:dyDescent="0.3">
      <c r="A203" s="33" t="s">
        <v>221</v>
      </c>
      <c r="B203" s="34" t="s">
        <v>222</v>
      </c>
      <c r="C203" s="38" t="s">
        <v>386</v>
      </c>
      <c r="D203" s="34" t="s">
        <v>10</v>
      </c>
      <c r="E203" s="34" t="s">
        <v>11</v>
      </c>
      <c r="F203" s="34">
        <v>1</v>
      </c>
      <c r="G203" s="34">
        <v>22111</v>
      </c>
      <c r="H203" s="34" t="s">
        <v>13</v>
      </c>
      <c r="I203" s="34" t="s">
        <v>32</v>
      </c>
      <c r="J203" s="34" t="s">
        <v>21</v>
      </c>
      <c r="K203" s="34" t="str">
        <f t="shared" si="12"/>
        <v>Delhi</v>
      </c>
      <c r="L203" t="str">
        <f t="shared" si="15"/>
        <v>UPI</v>
      </c>
      <c r="M203" s="34">
        <f t="shared" si="13"/>
        <v>22111</v>
      </c>
      <c r="N203" s="34">
        <f t="shared" si="14"/>
        <v>26</v>
      </c>
    </row>
    <row r="204" spans="1:14" x14ac:dyDescent="0.3">
      <c r="A204" s="31" t="s">
        <v>223</v>
      </c>
      <c r="B204" s="32" t="s">
        <v>211</v>
      </c>
      <c r="C204" s="37" t="s">
        <v>405</v>
      </c>
      <c r="D204" s="32" t="s">
        <v>36</v>
      </c>
      <c r="E204" s="32" t="s">
        <v>23</v>
      </c>
      <c r="F204" s="32">
        <v>3</v>
      </c>
      <c r="G204" s="32">
        <v>1211</v>
      </c>
      <c r="H204" s="32" t="s">
        <v>13</v>
      </c>
      <c r="I204" s="32" t="s">
        <v>27</v>
      </c>
      <c r="J204" s="32" t="s">
        <v>21</v>
      </c>
      <c r="K204" s="34" t="str">
        <f t="shared" si="12"/>
        <v>Delhi</v>
      </c>
      <c r="L204" t="str">
        <f t="shared" si="15"/>
        <v>Net Banking</v>
      </c>
      <c r="M204" s="34">
        <f t="shared" si="13"/>
        <v>3633</v>
      </c>
      <c r="N204" s="34">
        <f t="shared" si="14"/>
        <v>28</v>
      </c>
    </row>
    <row r="205" spans="1:14" x14ac:dyDescent="0.3">
      <c r="A205" s="33" t="s">
        <v>224</v>
      </c>
      <c r="B205" s="34" t="s">
        <v>151</v>
      </c>
      <c r="C205" s="38" t="s">
        <v>345</v>
      </c>
      <c r="D205" s="34" t="s">
        <v>34</v>
      </c>
      <c r="E205" s="34" t="s">
        <v>11</v>
      </c>
      <c r="F205" s="34">
        <v>2</v>
      </c>
      <c r="G205" s="34">
        <v>12111</v>
      </c>
      <c r="H205" s="34" t="s">
        <v>17</v>
      </c>
      <c r="I205" s="34" t="s">
        <v>20</v>
      </c>
      <c r="J205" s="34" t="s">
        <v>15</v>
      </c>
      <c r="K205" s="34" t="str">
        <f t="shared" si="12"/>
        <v>Mumbai</v>
      </c>
      <c r="L205" t="str">
        <f t="shared" si="15"/>
        <v>Debit Card</v>
      </c>
      <c r="M205" s="34">
        <f t="shared" si="13"/>
        <v>24222</v>
      </c>
      <c r="N205" s="34">
        <f t="shared" si="14"/>
        <v>18</v>
      </c>
    </row>
    <row r="206" spans="1:14" x14ac:dyDescent="0.3">
      <c r="A206" s="31" t="s">
        <v>225</v>
      </c>
      <c r="B206" s="32" t="s">
        <v>143</v>
      </c>
      <c r="C206" s="37" t="s">
        <v>370</v>
      </c>
      <c r="D206" s="32" t="s">
        <v>36</v>
      </c>
      <c r="E206" s="32" t="s">
        <v>23</v>
      </c>
      <c r="F206" s="32">
        <v>1</v>
      </c>
      <c r="G206" s="32">
        <v>2511</v>
      </c>
      <c r="H206" s="32" t="s">
        <v>24</v>
      </c>
      <c r="I206" s="32" t="s">
        <v>20</v>
      </c>
      <c r="J206" s="32" t="s">
        <v>15</v>
      </c>
      <c r="K206" s="34" t="str">
        <f t="shared" si="12"/>
        <v>Pune</v>
      </c>
      <c r="L206" t="str">
        <f t="shared" si="15"/>
        <v>UPI</v>
      </c>
      <c r="M206" s="34">
        <f t="shared" si="13"/>
        <v>2511</v>
      </c>
      <c r="N206" s="34">
        <f t="shared" si="14"/>
        <v>16</v>
      </c>
    </row>
    <row r="207" spans="1:14" x14ac:dyDescent="0.3">
      <c r="A207" s="33" t="s">
        <v>226</v>
      </c>
      <c r="B207" s="34" t="s">
        <v>227</v>
      </c>
      <c r="C207" s="38" t="s">
        <v>423</v>
      </c>
      <c r="D207" s="34" t="s">
        <v>26</v>
      </c>
      <c r="E207" s="34" t="s">
        <v>11</v>
      </c>
      <c r="F207" s="34">
        <v>4</v>
      </c>
      <c r="G207" s="34">
        <v>9111</v>
      </c>
      <c r="H207" s="34" t="s">
        <v>37</v>
      </c>
      <c r="I207" s="34" t="s">
        <v>25</v>
      </c>
      <c r="J207" s="34" t="s">
        <v>21</v>
      </c>
      <c r="K207" s="34" t="str">
        <f t="shared" si="12"/>
        <v>Jaipur</v>
      </c>
      <c r="L207" t="str">
        <f t="shared" si="15"/>
        <v>UPI</v>
      </c>
      <c r="M207" s="34">
        <f t="shared" si="13"/>
        <v>36444</v>
      </c>
      <c r="N207" s="34">
        <f t="shared" si="14"/>
        <v>19</v>
      </c>
    </row>
    <row r="208" spans="1:14" x14ac:dyDescent="0.3">
      <c r="A208" s="31" t="s">
        <v>228</v>
      </c>
      <c r="B208" s="32" t="s">
        <v>162</v>
      </c>
      <c r="C208" s="37" t="s">
        <v>383</v>
      </c>
      <c r="D208" s="32" t="s">
        <v>36</v>
      </c>
      <c r="E208" s="32" t="s">
        <v>23</v>
      </c>
      <c r="F208" s="32">
        <v>3</v>
      </c>
      <c r="G208" s="32">
        <v>1211</v>
      </c>
      <c r="H208" s="32" t="s">
        <v>67</v>
      </c>
      <c r="I208" s="32" t="s">
        <v>20</v>
      </c>
      <c r="J208" s="32" t="s">
        <v>18</v>
      </c>
      <c r="K208" s="34" t="str">
        <f t="shared" si="12"/>
        <v>Bangalore</v>
      </c>
      <c r="L208" t="str">
        <f t="shared" si="15"/>
        <v>Cash</v>
      </c>
      <c r="M208" s="34">
        <f t="shared" si="13"/>
        <v>3633</v>
      </c>
      <c r="N208" s="34">
        <f t="shared" si="14"/>
        <v>23</v>
      </c>
    </row>
    <row r="209" spans="1:14" x14ac:dyDescent="0.3">
      <c r="A209" s="33" t="s">
        <v>229</v>
      </c>
      <c r="B209" s="34" t="s">
        <v>214</v>
      </c>
      <c r="C209" s="38" t="s">
        <v>424</v>
      </c>
      <c r="D209" s="34" t="s">
        <v>26</v>
      </c>
      <c r="E209" s="34" t="s">
        <v>11</v>
      </c>
      <c r="F209" s="34">
        <v>4</v>
      </c>
      <c r="G209" s="34">
        <v>22111</v>
      </c>
      <c r="H209" s="34" t="s">
        <v>66</v>
      </c>
      <c r="I209" s="34" t="s">
        <v>27</v>
      </c>
      <c r="J209" s="34" t="s">
        <v>15</v>
      </c>
      <c r="K209" s="34" t="str">
        <f t="shared" si="12"/>
        <v>Mumbai</v>
      </c>
      <c r="L209" t="str">
        <f t="shared" si="15"/>
        <v>UPI</v>
      </c>
      <c r="M209" s="34">
        <f t="shared" si="13"/>
        <v>88444</v>
      </c>
      <c r="N209" s="34">
        <f t="shared" si="14"/>
        <v>18</v>
      </c>
    </row>
    <row r="210" spans="1:14" x14ac:dyDescent="0.3">
      <c r="A210" s="31" t="s">
        <v>230</v>
      </c>
      <c r="B210" s="32" t="s">
        <v>118</v>
      </c>
      <c r="C210" s="37" t="s">
        <v>380</v>
      </c>
      <c r="D210" s="32" t="s">
        <v>26</v>
      </c>
      <c r="E210" s="32" t="s">
        <v>11</v>
      </c>
      <c r="F210" s="32">
        <v>1</v>
      </c>
      <c r="G210" s="32">
        <v>22111</v>
      </c>
      <c r="H210" s="32" t="s">
        <v>24</v>
      </c>
      <c r="I210" s="32" t="s">
        <v>27</v>
      </c>
      <c r="J210" s="32" t="s">
        <v>15</v>
      </c>
      <c r="K210" s="34" t="str">
        <f t="shared" si="12"/>
        <v>Pune</v>
      </c>
      <c r="L210" t="str">
        <f t="shared" si="15"/>
        <v>Debit Card</v>
      </c>
      <c r="M210" s="34">
        <f t="shared" si="13"/>
        <v>22111</v>
      </c>
      <c r="N210" s="34">
        <f t="shared" si="14"/>
        <v>25</v>
      </c>
    </row>
    <row r="211" spans="1:14" x14ac:dyDescent="0.3">
      <c r="A211" s="33" t="s">
        <v>220</v>
      </c>
      <c r="B211" s="34" t="s">
        <v>231</v>
      </c>
      <c r="C211" s="38" t="s">
        <v>346</v>
      </c>
      <c r="D211" s="34" t="s">
        <v>30</v>
      </c>
      <c r="E211" s="34" t="s">
        <v>31</v>
      </c>
      <c r="F211" s="34">
        <v>1</v>
      </c>
      <c r="G211" s="34">
        <v>6511</v>
      </c>
      <c r="H211" s="34" t="s">
        <v>67</v>
      </c>
      <c r="I211" s="34" t="s">
        <v>32</v>
      </c>
      <c r="J211" s="34" t="s">
        <v>15</v>
      </c>
      <c r="K211" s="34" t="str">
        <f t="shared" si="12"/>
        <v>Bangalore</v>
      </c>
      <c r="L211" t="str">
        <f t="shared" si="15"/>
        <v>Debit Card</v>
      </c>
      <c r="M211" s="34">
        <f t="shared" si="13"/>
        <v>6511</v>
      </c>
      <c r="N211" s="34">
        <f t="shared" si="14"/>
        <v>31</v>
      </c>
    </row>
    <row r="212" spans="1:14" x14ac:dyDescent="0.3">
      <c r="A212" s="31" t="s">
        <v>220</v>
      </c>
      <c r="B212" s="32" t="s">
        <v>76</v>
      </c>
      <c r="C212" s="37" t="s">
        <v>381</v>
      </c>
      <c r="D212" s="32" t="s">
        <v>36</v>
      </c>
      <c r="E212" s="32" t="s">
        <v>23</v>
      </c>
      <c r="F212" s="32">
        <v>1</v>
      </c>
      <c r="G212" s="32">
        <v>1811</v>
      </c>
      <c r="H212" s="32" t="s">
        <v>24</v>
      </c>
      <c r="I212" s="32" t="s">
        <v>65</v>
      </c>
      <c r="J212" s="32" t="s">
        <v>15</v>
      </c>
      <c r="K212" s="34" t="str">
        <f t="shared" si="12"/>
        <v>Pune</v>
      </c>
      <c r="L212" t="str">
        <f t="shared" si="15"/>
        <v>Net Banking</v>
      </c>
      <c r="M212" s="34">
        <f t="shared" si="13"/>
        <v>1811</v>
      </c>
      <c r="N212" s="34">
        <f t="shared" si="14"/>
        <v>13</v>
      </c>
    </row>
    <row r="213" spans="1:14" x14ac:dyDescent="0.3">
      <c r="A213" s="33" t="s">
        <v>221</v>
      </c>
      <c r="B213" s="34" t="s">
        <v>189</v>
      </c>
      <c r="C213" s="38" t="s">
        <v>425</v>
      </c>
      <c r="D213" s="34" t="s">
        <v>28</v>
      </c>
      <c r="E213" s="34" t="s">
        <v>23</v>
      </c>
      <c r="F213" s="34">
        <v>4</v>
      </c>
      <c r="G213" s="34">
        <v>1811</v>
      </c>
      <c r="H213" s="34" t="s">
        <v>29</v>
      </c>
      <c r="I213" s="34" t="s">
        <v>25</v>
      </c>
      <c r="J213" s="34" t="s">
        <v>21</v>
      </c>
      <c r="K213" s="34" t="str">
        <f t="shared" si="12"/>
        <v>Kolkata</v>
      </c>
      <c r="L213" t="str">
        <f t="shared" si="15"/>
        <v>Unknown</v>
      </c>
      <c r="M213" s="34">
        <f t="shared" si="13"/>
        <v>7244</v>
      </c>
      <c r="N213" s="34">
        <f t="shared" si="14"/>
        <v>24</v>
      </c>
    </row>
    <row r="214" spans="1:14" x14ac:dyDescent="0.3">
      <c r="A214" s="31" t="s">
        <v>223</v>
      </c>
      <c r="B214" s="32" t="s">
        <v>208</v>
      </c>
      <c r="C214" s="37" t="s">
        <v>426</v>
      </c>
      <c r="D214" s="32" t="s">
        <v>10</v>
      </c>
      <c r="E214" s="32" t="s">
        <v>11</v>
      </c>
      <c r="F214" s="32">
        <v>1</v>
      </c>
      <c r="G214" s="32">
        <v>42111</v>
      </c>
      <c r="H214" s="32" t="s">
        <v>65</v>
      </c>
      <c r="I214" s="32" t="s">
        <v>27</v>
      </c>
      <c r="J214" s="32" t="s">
        <v>18</v>
      </c>
      <c r="K214" s="34" t="str">
        <f t="shared" si="12"/>
        <v>Unknown</v>
      </c>
      <c r="L214" t="str">
        <f t="shared" si="15"/>
        <v>Cash</v>
      </c>
      <c r="M214" s="34">
        <f t="shared" si="13"/>
        <v>42111</v>
      </c>
      <c r="N214" s="34">
        <f t="shared" si="14"/>
        <v>12</v>
      </c>
    </row>
    <row r="215" spans="1:14" x14ac:dyDescent="0.3">
      <c r="A215" s="33" t="s">
        <v>224</v>
      </c>
      <c r="B215" s="34" t="s">
        <v>87</v>
      </c>
      <c r="C215" s="38" t="s">
        <v>339</v>
      </c>
      <c r="D215" s="34" t="s">
        <v>26</v>
      </c>
      <c r="E215" s="34" t="s">
        <v>11</v>
      </c>
      <c r="F215" s="34">
        <v>3</v>
      </c>
      <c r="G215" s="34">
        <v>12111</v>
      </c>
      <c r="H215" s="34" t="s">
        <v>35</v>
      </c>
      <c r="I215" s="34" t="s">
        <v>25</v>
      </c>
      <c r="J215" s="34" t="s">
        <v>18</v>
      </c>
      <c r="K215" s="34" t="str">
        <f t="shared" si="12"/>
        <v>Hyderabad</v>
      </c>
      <c r="L215" t="str">
        <f t="shared" si="15"/>
        <v>Debit Card</v>
      </c>
      <c r="M215" s="34">
        <f t="shared" si="13"/>
        <v>36333</v>
      </c>
      <c r="N215" s="34">
        <f t="shared" si="14"/>
        <v>24</v>
      </c>
    </row>
    <row r="216" spans="1:14" x14ac:dyDescent="0.3">
      <c r="A216" s="31" t="s">
        <v>225</v>
      </c>
      <c r="B216" s="32" t="s">
        <v>213</v>
      </c>
      <c r="C216" s="37" t="s">
        <v>328</v>
      </c>
      <c r="D216" s="32" t="s">
        <v>34</v>
      </c>
      <c r="E216" s="32" t="s">
        <v>11</v>
      </c>
      <c r="F216" s="32">
        <v>1</v>
      </c>
      <c r="G216" s="32">
        <v>12111</v>
      </c>
      <c r="H216" s="32" t="s">
        <v>24</v>
      </c>
      <c r="I216" s="32" t="s">
        <v>32</v>
      </c>
      <c r="J216" s="32" t="s">
        <v>15</v>
      </c>
      <c r="K216" s="34" t="str">
        <f t="shared" si="12"/>
        <v>Pune</v>
      </c>
      <c r="L216" t="str">
        <f t="shared" si="15"/>
        <v>Cash</v>
      </c>
      <c r="M216" s="34">
        <f t="shared" si="13"/>
        <v>12111</v>
      </c>
      <c r="N216" s="34">
        <f t="shared" si="14"/>
        <v>22</v>
      </c>
    </row>
    <row r="217" spans="1:14" x14ac:dyDescent="0.3">
      <c r="A217" s="33" t="s">
        <v>226</v>
      </c>
      <c r="B217" s="34" t="s">
        <v>70</v>
      </c>
      <c r="C217" s="38" t="s">
        <v>427</v>
      </c>
      <c r="D217" s="34" t="s">
        <v>28</v>
      </c>
      <c r="E217" s="34" t="s">
        <v>23</v>
      </c>
      <c r="F217" s="34">
        <v>3</v>
      </c>
      <c r="G217" s="40">
        <v>1211</v>
      </c>
      <c r="H217" s="34" t="s">
        <v>19</v>
      </c>
      <c r="I217" s="34" t="s">
        <v>25</v>
      </c>
      <c r="J217" s="34" t="s">
        <v>21</v>
      </c>
      <c r="K217" s="34" t="str">
        <f t="shared" si="12"/>
        <v>Chennai</v>
      </c>
      <c r="L217" t="str">
        <f t="shared" si="15"/>
        <v>Net Banking</v>
      </c>
      <c r="M217" s="34">
        <f t="shared" si="13"/>
        <v>3633</v>
      </c>
      <c r="N217" s="34">
        <f t="shared" si="14"/>
        <v>31</v>
      </c>
    </row>
    <row r="218" spans="1:14" x14ac:dyDescent="0.3">
      <c r="A218" s="31" t="s">
        <v>228</v>
      </c>
      <c r="B218" s="32" t="s">
        <v>222</v>
      </c>
      <c r="C218" s="37" t="s">
        <v>428</v>
      </c>
      <c r="D218" s="32" t="s">
        <v>28</v>
      </c>
      <c r="E218" s="32" t="s">
        <v>23</v>
      </c>
      <c r="F218" s="32">
        <v>1</v>
      </c>
      <c r="G218" s="32">
        <v>711</v>
      </c>
      <c r="H218" s="32" t="s">
        <v>29</v>
      </c>
      <c r="I218" s="32" t="s">
        <v>20</v>
      </c>
      <c r="J218" s="32" t="s">
        <v>21</v>
      </c>
      <c r="K218" s="34" t="str">
        <f t="shared" si="12"/>
        <v>Kolkata</v>
      </c>
      <c r="L218" t="str">
        <f t="shared" si="15"/>
        <v>Cash</v>
      </c>
      <c r="M218" s="34">
        <f t="shared" si="13"/>
        <v>711</v>
      </c>
      <c r="N218" s="34">
        <f t="shared" si="14"/>
        <v>12</v>
      </c>
    </row>
    <row r="219" spans="1:14" x14ac:dyDescent="0.3">
      <c r="A219" s="33" t="s">
        <v>229</v>
      </c>
      <c r="B219" s="34" t="s">
        <v>74</v>
      </c>
      <c r="C219" s="38" t="s">
        <v>364</v>
      </c>
      <c r="D219" s="34" t="s">
        <v>22</v>
      </c>
      <c r="E219" s="34" t="s">
        <v>23</v>
      </c>
      <c r="F219" s="34">
        <v>1</v>
      </c>
      <c r="G219" s="34">
        <v>711</v>
      </c>
      <c r="H219" s="34" t="s">
        <v>35</v>
      </c>
      <c r="I219" s="34" t="s">
        <v>20</v>
      </c>
      <c r="J219" s="34" t="s">
        <v>15</v>
      </c>
      <c r="K219" s="34" t="str">
        <f t="shared" si="12"/>
        <v>Hyderabad</v>
      </c>
      <c r="L219" t="str">
        <f t="shared" si="15"/>
        <v>UPI</v>
      </c>
      <c r="M219" s="34">
        <f t="shared" si="13"/>
        <v>711</v>
      </c>
      <c r="N219" s="34">
        <f t="shared" si="14"/>
        <v>14</v>
      </c>
    </row>
    <row r="220" spans="1:14" x14ac:dyDescent="0.3">
      <c r="A220" s="31" t="s">
        <v>230</v>
      </c>
      <c r="B220" s="32" t="s">
        <v>72</v>
      </c>
      <c r="C220" s="37" t="s">
        <v>429</v>
      </c>
      <c r="D220" s="32" t="s">
        <v>34</v>
      </c>
      <c r="E220" s="32" t="s">
        <v>11</v>
      </c>
      <c r="F220" s="32">
        <v>4</v>
      </c>
      <c r="G220" s="32">
        <v>25111</v>
      </c>
      <c r="H220" s="32" t="s">
        <v>24</v>
      </c>
      <c r="I220" s="32" t="s">
        <v>25</v>
      </c>
      <c r="J220" s="32" t="s">
        <v>15</v>
      </c>
      <c r="K220" s="34" t="str">
        <f t="shared" si="12"/>
        <v>Pune</v>
      </c>
      <c r="L220" t="str">
        <f t="shared" si="15"/>
        <v>UPI</v>
      </c>
      <c r="M220" s="34">
        <f t="shared" si="13"/>
        <v>100444</v>
      </c>
      <c r="N220" s="34">
        <f t="shared" si="14"/>
        <v>16</v>
      </c>
    </row>
    <row r="221" spans="1:14" x14ac:dyDescent="0.3">
      <c r="A221" s="33" t="s">
        <v>232</v>
      </c>
      <c r="B221" s="34" t="s">
        <v>179</v>
      </c>
      <c r="C221" s="38" t="s">
        <v>430</v>
      </c>
      <c r="D221" s="34" t="s">
        <v>16</v>
      </c>
      <c r="E221" s="34" t="s">
        <v>11</v>
      </c>
      <c r="F221" s="34">
        <v>2</v>
      </c>
      <c r="G221" s="34">
        <v>61111</v>
      </c>
      <c r="H221" s="34" t="s">
        <v>19</v>
      </c>
      <c r="I221" s="34" t="s">
        <v>14</v>
      </c>
      <c r="J221" s="34" t="s">
        <v>21</v>
      </c>
      <c r="K221" s="34" t="str">
        <f t="shared" si="12"/>
        <v>Chennai</v>
      </c>
      <c r="L221" t="str">
        <f t="shared" si="15"/>
        <v>Cash</v>
      </c>
      <c r="M221" s="34">
        <f t="shared" si="13"/>
        <v>122222</v>
      </c>
      <c r="N221" s="34">
        <f t="shared" si="14"/>
        <v>16</v>
      </c>
    </row>
    <row r="222" spans="1:14" x14ac:dyDescent="0.3">
      <c r="A222" s="31" t="s">
        <v>232</v>
      </c>
      <c r="B222" s="32" t="s">
        <v>215</v>
      </c>
      <c r="C222" s="37" t="s">
        <v>431</v>
      </c>
      <c r="D222" s="32" t="s">
        <v>28</v>
      </c>
      <c r="E222" s="32" t="s">
        <v>23</v>
      </c>
      <c r="F222" s="32" t="s">
        <v>12</v>
      </c>
      <c r="G222" s="32">
        <v>1811</v>
      </c>
      <c r="H222" s="32" t="s">
        <v>37</v>
      </c>
      <c r="I222" s="32" t="s">
        <v>27</v>
      </c>
      <c r="J222" s="32" t="s">
        <v>21</v>
      </c>
      <c r="K222" s="34" t="str">
        <f t="shared" si="12"/>
        <v>Jaipur</v>
      </c>
      <c r="L222" t="str">
        <f t="shared" si="15"/>
        <v>Credit Card</v>
      </c>
      <c r="M222" s="34">
        <f t="shared" si="13"/>
        <v>1811</v>
      </c>
      <c r="N222" s="34">
        <f t="shared" si="14"/>
        <v>19</v>
      </c>
    </row>
    <row r="223" spans="1:14" x14ac:dyDescent="0.3">
      <c r="A223" s="33" t="s">
        <v>233</v>
      </c>
      <c r="B223" s="34" t="s">
        <v>90</v>
      </c>
      <c r="C223" s="38" t="s">
        <v>432</v>
      </c>
      <c r="D223" s="34" t="s">
        <v>28</v>
      </c>
      <c r="E223" s="34" t="s">
        <v>23</v>
      </c>
      <c r="F223" s="34">
        <v>1</v>
      </c>
      <c r="G223" s="34">
        <v>1811</v>
      </c>
      <c r="H223" s="34" t="s">
        <v>67</v>
      </c>
      <c r="I223" s="34" t="s">
        <v>27</v>
      </c>
      <c r="J223" s="34" t="s">
        <v>21</v>
      </c>
      <c r="K223" s="34" t="str">
        <f t="shared" si="12"/>
        <v>Bangalore</v>
      </c>
      <c r="L223" t="str">
        <f t="shared" si="15"/>
        <v>Debit Card</v>
      </c>
      <c r="M223" s="34">
        <f t="shared" si="13"/>
        <v>1811</v>
      </c>
      <c r="N223" s="34">
        <f t="shared" si="14"/>
        <v>17</v>
      </c>
    </row>
    <row r="224" spans="1:14" x14ac:dyDescent="0.3">
      <c r="A224" s="31" t="s">
        <v>234</v>
      </c>
      <c r="B224" s="32" t="s">
        <v>146</v>
      </c>
      <c r="C224" s="37" t="s">
        <v>398</v>
      </c>
      <c r="D224" s="32" t="s">
        <v>16</v>
      </c>
      <c r="E224" s="32" t="s">
        <v>11</v>
      </c>
      <c r="F224" s="32">
        <v>2</v>
      </c>
      <c r="G224" s="32">
        <v>68111</v>
      </c>
      <c r="H224" s="32" t="s">
        <v>29</v>
      </c>
      <c r="I224" s="32" t="s">
        <v>32</v>
      </c>
      <c r="J224" s="32" t="s">
        <v>21</v>
      </c>
      <c r="K224" s="34" t="str">
        <f t="shared" si="12"/>
        <v>Kolkata</v>
      </c>
      <c r="L224" t="str">
        <f t="shared" si="15"/>
        <v>Debit Card</v>
      </c>
      <c r="M224" s="34">
        <f t="shared" si="13"/>
        <v>136222</v>
      </c>
      <c r="N224" s="34">
        <f t="shared" si="14"/>
        <v>27</v>
      </c>
    </row>
    <row r="225" spans="1:14" x14ac:dyDescent="0.3">
      <c r="A225" s="33" t="s">
        <v>235</v>
      </c>
      <c r="B225" s="34" t="s">
        <v>82</v>
      </c>
      <c r="C225" s="38" t="s">
        <v>362</v>
      </c>
      <c r="D225" s="34" t="s">
        <v>36</v>
      </c>
      <c r="E225" s="34" t="s">
        <v>23</v>
      </c>
      <c r="F225" s="34">
        <v>2</v>
      </c>
      <c r="G225" s="34">
        <v>1811</v>
      </c>
      <c r="H225" s="34" t="s">
        <v>37</v>
      </c>
      <c r="I225" s="34" t="s">
        <v>32</v>
      </c>
      <c r="J225" s="34" t="s">
        <v>18</v>
      </c>
      <c r="K225" s="34" t="str">
        <f t="shared" si="12"/>
        <v>Jaipur</v>
      </c>
      <c r="L225" t="str">
        <f t="shared" si="15"/>
        <v>Net Banking</v>
      </c>
      <c r="M225" s="34">
        <f t="shared" si="13"/>
        <v>3622</v>
      </c>
      <c r="N225" s="34">
        <f t="shared" si="14"/>
        <v>15</v>
      </c>
    </row>
    <row r="226" spans="1:14" x14ac:dyDescent="0.3">
      <c r="A226" s="31" t="s">
        <v>236</v>
      </c>
      <c r="B226" s="32" t="s">
        <v>134</v>
      </c>
      <c r="C226" s="37" t="s">
        <v>338</v>
      </c>
      <c r="D226" s="32" t="s">
        <v>16</v>
      </c>
      <c r="E226" s="32" t="s">
        <v>11</v>
      </c>
      <c r="F226" s="32">
        <v>3</v>
      </c>
      <c r="G226" s="32">
        <v>52111</v>
      </c>
      <c r="H226" s="32" t="s">
        <v>17</v>
      </c>
      <c r="I226" s="32" t="s">
        <v>20</v>
      </c>
      <c r="J226" s="32" t="s">
        <v>21</v>
      </c>
      <c r="K226" s="34" t="str">
        <f t="shared" si="12"/>
        <v>Mumbai</v>
      </c>
      <c r="L226" t="str">
        <f t="shared" si="15"/>
        <v>Net Banking</v>
      </c>
      <c r="M226" s="34">
        <f t="shared" si="13"/>
        <v>156333</v>
      </c>
      <c r="N226" s="34">
        <f t="shared" si="14"/>
        <v>17</v>
      </c>
    </row>
    <row r="227" spans="1:14" x14ac:dyDescent="0.3">
      <c r="A227" s="33" t="s">
        <v>237</v>
      </c>
      <c r="B227" s="34" t="s">
        <v>211</v>
      </c>
      <c r="C227" s="38" t="s">
        <v>334</v>
      </c>
      <c r="D227" s="34" t="s">
        <v>26</v>
      </c>
      <c r="E227" s="34" t="s">
        <v>11</v>
      </c>
      <c r="F227" s="34">
        <v>1</v>
      </c>
      <c r="G227" s="34">
        <v>16111</v>
      </c>
      <c r="H227" s="34" t="s">
        <v>35</v>
      </c>
      <c r="I227" s="34" t="s">
        <v>27</v>
      </c>
      <c r="J227" s="34" t="s">
        <v>15</v>
      </c>
      <c r="K227" s="34" t="str">
        <f t="shared" si="12"/>
        <v>Hyderabad</v>
      </c>
      <c r="L227" t="str">
        <f t="shared" si="15"/>
        <v>UPI</v>
      </c>
      <c r="M227" s="34">
        <f t="shared" si="13"/>
        <v>16111</v>
      </c>
      <c r="N227" s="34">
        <f t="shared" si="14"/>
        <v>12</v>
      </c>
    </row>
    <row r="228" spans="1:14" x14ac:dyDescent="0.3">
      <c r="A228" s="31" t="s">
        <v>238</v>
      </c>
      <c r="B228" s="32" t="s">
        <v>146</v>
      </c>
      <c r="C228" s="37" t="s">
        <v>320</v>
      </c>
      <c r="D228" s="32" t="s">
        <v>26</v>
      </c>
      <c r="E228" s="32" t="s">
        <v>11</v>
      </c>
      <c r="F228" s="32">
        <v>2</v>
      </c>
      <c r="G228" s="32">
        <v>16111</v>
      </c>
      <c r="H228" s="32" t="s">
        <v>19</v>
      </c>
      <c r="I228" s="32" t="s">
        <v>32</v>
      </c>
      <c r="J228" s="32" t="s">
        <v>15</v>
      </c>
      <c r="K228" s="34" t="str">
        <f t="shared" si="12"/>
        <v>Chennai</v>
      </c>
      <c r="L228" t="str">
        <f t="shared" si="15"/>
        <v>Debit Card</v>
      </c>
      <c r="M228" s="34">
        <f t="shared" si="13"/>
        <v>32222</v>
      </c>
      <c r="N228" s="34">
        <f t="shared" si="14"/>
        <v>11</v>
      </c>
    </row>
    <row r="229" spans="1:14" x14ac:dyDescent="0.3">
      <c r="A229" s="33" t="s">
        <v>239</v>
      </c>
      <c r="B229" s="34" t="s">
        <v>87</v>
      </c>
      <c r="C229" s="38" t="s">
        <v>407</v>
      </c>
      <c r="D229" s="34" t="s">
        <v>36</v>
      </c>
      <c r="E229" s="34" t="s">
        <v>23</v>
      </c>
      <c r="F229" s="34">
        <v>3</v>
      </c>
      <c r="G229" s="34">
        <v>3511</v>
      </c>
      <c r="H229" s="34" t="s">
        <v>13</v>
      </c>
      <c r="I229" s="34" t="s">
        <v>27</v>
      </c>
      <c r="J229" s="34" t="s">
        <v>18</v>
      </c>
      <c r="K229" s="34" t="str">
        <f t="shared" si="12"/>
        <v>Delhi</v>
      </c>
      <c r="L229" t="str">
        <f t="shared" si="15"/>
        <v>Net Banking</v>
      </c>
      <c r="M229" s="34">
        <f t="shared" si="13"/>
        <v>10533</v>
      </c>
      <c r="N229" s="34">
        <f t="shared" si="14"/>
        <v>13</v>
      </c>
    </row>
    <row r="230" spans="1:14" x14ac:dyDescent="0.3">
      <c r="A230" s="31" t="s">
        <v>240</v>
      </c>
      <c r="B230" s="32" t="s">
        <v>97</v>
      </c>
      <c r="C230" s="37" t="s">
        <v>433</v>
      </c>
      <c r="D230" s="32" t="s">
        <v>16</v>
      </c>
      <c r="E230" s="32" t="s">
        <v>11</v>
      </c>
      <c r="F230" s="32">
        <v>3</v>
      </c>
      <c r="G230" s="32">
        <v>52111</v>
      </c>
      <c r="H230" s="32" t="s">
        <v>19</v>
      </c>
      <c r="I230" s="32" t="s">
        <v>14</v>
      </c>
      <c r="J230" s="32" t="s">
        <v>18</v>
      </c>
      <c r="K230" s="34" t="str">
        <f t="shared" si="12"/>
        <v>Chennai</v>
      </c>
      <c r="L230" t="str">
        <f t="shared" si="15"/>
        <v>Debit Card</v>
      </c>
      <c r="M230" s="34">
        <f t="shared" si="13"/>
        <v>156333</v>
      </c>
      <c r="N230" s="34">
        <f t="shared" si="14"/>
        <v>17</v>
      </c>
    </row>
    <row r="231" spans="1:14" x14ac:dyDescent="0.3">
      <c r="A231" s="33" t="s">
        <v>241</v>
      </c>
      <c r="B231" s="34" t="s">
        <v>86</v>
      </c>
      <c r="C231" s="38" t="s">
        <v>325</v>
      </c>
      <c r="D231" s="34" t="s">
        <v>30</v>
      </c>
      <c r="E231" s="34" t="s">
        <v>31</v>
      </c>
      <c r="F231" s="34">
        <v>4</v>
      </c>
      <c r="G231" s="34">
        <v>9111</v>
      </c>
      <c r="H231" s="34" t="s">
        <v>24</v>
      </c>
      <c r="I231" s="34" t="s">
        <v>20</v>
      </c>
      <c r="J231" s="34" t="s">
        <v>18</v>
      </c>
      <c r="K231" s="34" t="str">
        <f t="shared" si="12"/>
        <v>Pune</v>
      </c>
      <c r="L231" t="str">
        <f t="shared" si="15"/>
        <v>Credit Card</v>
      </c>
      <c r="M231" s="34">
        <f t="shared" si="13"/>
        <v>36444</v>
      </c>
      <c r="N231" s="34">
        <f t="shared" si="14"/>
        <v>17</v>
      </c>
    </row>
    <row r="232" spans="1:14" x14ac:dyDescent="0.3">
      <c r="A232" s="31" t="s">
        <v>241</v>
      </c>
      <c r="B232" s="32" t="s">
        <v>218</v>
      </c>
      <c r="C232" s="37" t="s">
        <v>320</v>
      </c>
      <c r="D232" s="32" t="s">
        <v>22</v>
      </c>
      <c r="E232" s="32" t="s">
        <v>23</v>
      </c>
      <c r="F232" s="32">
        <v>1</v>
      </c>
      <c r="G232" s="32">
        <v>411</v>
      </c>
      <c r="H232" s="32" t="s">
        <v>35</v>
      </c>
      <c r="I232" s="32" t="s">
        <v>20</v>
      </c>
      <c r="J232" s="32" t="s">
        <v>18</v>
      </c>
      <c r="K232" s="34" t="str">
        <f t="shared" si="12"/>
        <v>Hyderabad</v>
      </c>
      <c r="L232" t="str">
        <f t="shared" si="15"/>
        <v>UPI</v>
      </c>
      <c r="M232" s="34">
        <f t="shared" si="13"/>
        <v>411</v>
      </c>
      <c r="N232" s="34">
        <f t="shared" si="14"/>
        <v>11</v>
      </c>
    </row>
    <row r="233" spans="1:14" x14ac:dyDescent="0.3">
      <c r="A233" s="33" t="s">
        <v>242</v>
      </c>
      <c r="B233" s="34" t="s">
        <v>93</v>
      </c>
      <c r="C233" s="38" t="s">
        <v>335</v>
      </c>
      <c r="D233" s="34" t="s">
        <v>36</v>
      </c>
      <c r="E233" s="34" t="s">
        <v>23</v>
      </c>
      <c r="F233" s="34">
        <v>4</v>
      </c>
      <c r="G233" s="34">
        <v>1211</v>
      </c>
      <c r="H233" s="34" t="s">
        <v>24</v>
      </c>
      <c r="I233" s="34" t="s">
        <v>14</v>
      </c>
      <c r="J233" s="34" t="s">
        <v>15</v>
      </c>
      <c r="K233" s="34" t="str">
        <f t="shared" si="12"/>
        <v>Pune</v>
      </c>
      <c r="L233" t="str">
        <f t="shared" si="15"/>
        <v>UPI</v>
      </c>
      <c r="M233" s="34">
        <f t="shared" si="13"/>
        <v>4844</v>
      </c>
      <c r="N233" s="34">
        <f t="shared" si="14"/>
        <v>15</v>
      </c>
    </row>
    <row r="234" spans="1:14" x14ac:dyDescent="0.3">
      <c r="A234" s="31" t="s">
        <v>243</v>
      </c>
      <c r="B234" s="32" t="s">
        <v>127</v>
      </c>
      <c r="C234" s="37" t="s">
        <v>335</v>
      </c>
      <c r="D234" s="32" t="s">
        <v>16</v>
      </c>
      <c r="E234" s="32" t="s">
        <v>11</v>
      </c>
      <c r="F234" s="32">
        <v>4</v>
      </c>
      <c r="G234" s="32">
        <v>68111</v>
      </c>
      <c r="H234" s="32" t="s">
        <v>35</v>
      </c>
      <c r="I234" s="32" t="s">
        <v>14</v>
      </c>
      <c r="J234" s="32" t="s">
        <v>15</v>
      </c>
      <c r="K234" s="34" t="str">
        <f t="shared" si="12"/>
        <v>Hyderabad</v>
      </c>
      <c r="L234" t="str">
        <f t="shared" si="15"/>
        <v>Credit Card</v>
      </c>
      <c r="M234" s="34">
        <f t="shared" si="13"/>
        <v>272444</v>
      </c>
      <c r="N234" s="34">
        <f t="shared" si="14"/>
        <v>15</v>
      </c>
    </row>
    <row r="235" spans="1:14" x14ac:dyDescent="0.3">
      <c r="A235" s="33" t="s">
        <v>244</v>
      </c>
      <c r="B235" s="34" t="s">
        <v>90</v>
      </c>
      <c r="C235" s="38" t="s">
        <v>434</v>
      </c>
      <c r="D235" s="34" t="s">
        <v>16</v>
      </c>
      <c r="E235" s="34" t="s">
        <v>11</v>
      </c>
      <c r="F235" s="34">
        <v>2</v>
      </c>
      <c r="G235" s="34">
        <v>52111</v>
      </c>
      <c r="H235" s="34" t="s">
        <v>24</v>
      </c>
      <c r="I235" s="34" t="s">
        <v>20</v>
      </c>
      <c r="J235" s="34" t="s">
        <v>21</v>
      </c>
      <c r="K235" s="34" t="str">
        <f t="shared" si="12"/>
        <v>Pune</v>
      </c>
      <c r="L235" t="str">
        <f t="shared" si="15"/>
        <v>Credit Card</v>
      </c>
      <c r="M235" s="34">
        <f t="shared" si="13"/>
        <v>104222</v>
      </c>
      <c r="N235" s="34">
        <f t="shared" si="14"/>
        <v>18</v>
      </c>
    </row>
    <row r="236" spans="1:14" x14ac:dyDescent="0.3">
      <c r="A236" s="31" t="s">
        <v>245</v>
      </c>
      <c r="B236" s="32" t="s">
        <v>246</v>
      </c>
      <c r="C236" s="37" t="s">
        <v>435</v>
      </c>
      <c r="D236" s="32" t="s">
        <v>34</v>
      </c>
      <c r="E236" s="32" t="s">
        <v>11</v>
      </c>
      <c r="F236" s="32">
        <v>2</v>
      </c>
      <c r="G236" s="32">
        <v>25111</v>
      </c>
      <c r="H236" s="32" t="s">
        <v>67</v>
      </c>
      <c r="I236" s="32" t="s">
        <v>27</v>
      </c>
      <c r="J236" s="32" t="s">
        <v>21</v>
      </c>
      <c r="K236" s="34" t="str">
        <f t="shared" si="12"/>
        <v>Bangalore</v>
      </c>
      <c r="L236" t="str">
        <f t="shared" si="15"/>
        <v>UPI</v>
      </c>
      <c r="M236" s="34">
        <f t="shared" si="13"/>
        <v>50222</v>
      </c>
      <c r="N236" s="34">
        <f t="shared" si="14"/>
        <v>27</v>
      </c>
    </row>
    <row r="237" spans="1:14" x14ac:dyDescent="0.3">
      <c r="A237" s="33" t="s">
        <v>247</v>
      </c>
      <c r="B237" s="34" t="s">
        <v>214</v>
      </c>
      <c r="C237" s="38" t="s">
        <v>436</v>
      </c>
      <c r="D237" s="34" t="s">
        <v>16</v>
      </c>
      <c r="E237" s="34" t="s">
        <v>11</v>
      </c>
      <c r="F237" s="34">
        <v>2</v>
      </c>
      <c r="G237" s="34">
        <v>45111</v>
      </c>
      <c r="H237" s="34" t="s">
        <v>35</v>
      </c>
      <c r="I237" s="34" t="s">
        <v>32</v>
      </c>
      <c r="J237" s="34" t="s">
        <v>15</v>
      </c>
      <c r="K237" s="34" t="str">
        <f t="shared" si="12"/>
        <v>Hyderabad</v>
      </c>
      <c r="L237" t="str">
        <f t="shared" si="15"/>
        <v>Debit Card</v>
      </c>
      <c r="M237" s="34">
        <f t="shared" si="13"/>
        <v>90222</v>
      </c>
      <c r="N237" s="34">
        <f t="shared" si="14"/>
        <v>25</v>
      </c>
    </row>
    <row r="238" spans="1:14" x14ac:dyDescent="0.3">
      <c r="A238" s="31" t="s">
        <v>248</v>
      </c>
      <c r="B238" s="32" t="s">
        <v>87</v>
      </c>
      <c r="C238" s="37" t="s">
        <v>427</v>
      </c>
      <c r="D238" s="32" t="s">
        <v>30</v>
      </c>
      <c r="E238" s="32" t="s">
        <v>31</v>
      </c>
      <c r="F238" s="32">
        <v>3</v>
      </c>
      <c r="G238" s="32">
        <v>9111</v>
      </c>
      <c r="H238" s="32" t="s">
        <v>67</v>
      </c>
      <c r="I238" s="32" t="s">
        <v>14</v>
      </c>
      <c r="J238" s="32" t="s">
        <v>15</v>
      </c>
      <c r="K238" s="34" t="str">
        <f t="shared" si="12"/>
        <v>Bangalore</v>
      </c>
      <c r="L238" t="str">
        <f t="shared" si="15"/>
        <v>Net Banking</v>
      </c>
      <c r="M238" s="34">
        <f t="shared" si="13"/>
        <v>27333</v>
      </c>
      <c r="N238" s="34">
        <f t="shared" si="14"/>
        <v>31</v>
      </c>
    </row>
    <row r="239" spans="1:14" x14ac:dyDescent="0.3">
      <c r="A239" s="33" t="s">
        <v>249</v>
      </c>
      <c r="B239" s="34" t="s">
        <v>197</v>
      </c>
      <c r="C239" s="38" t="s">
        <v>372</v>
      </c>
      <c r="D239" s="34" t="s">
        <v>16</v>
      </c>
      <c r="E239" s="34" t="s">
        <v>11</v>
      </c>
      <c r="F239" s="34">
        <v>4</v>
      </c>
      <c r="G239" s="34">
        <v>45111</v>
      </c>
      <c r="H239" s="34" t="s">
        <v>19</v>
      </c>
      <c r="I239" s="34" t="s">
        <v>32</v>
      </c>
      <c r="J239" s="34" t="s">
        <v>18</v>
      </c>
      <c r="K239" s="34" t="str">
        <f t="shared" si="12"/>
        <v>Chennai</v>
      </c>
      <c r="L239" t="str">
        <f t="shared" si="15"/>
        <v>Credit Card</v>
      </c>
      <c r="M239" s="34">
        <f t="shared" si="13"/>
        <v>180444</v>
      </c>
      <c r="N239" s="34">
        <f t="shared" si="14"/>
        <v>14</v>
      </c>
    </row>
    <row r="240" spans="1:14" x14ac:dyDescent="0.3">
      <c r="A240" s="31" t="s">
        <v>250</v>
      </c>
      <c r="B240" s="32" t="s">
        <v>118</v>
      </c>
      <c r="C240" s="37" t="s">
        <v>329</v>
      </c>
      <c r="D240" s="32" t="s">
        <v>22</v>
      </c>
      <c r="E240" s="32" t="s">
        <v>23</v>
      </c>
      <c r="F240" s="32">
        <v>4</v>
      </c>
      <c r="G240" s="32">
        <v>411</v>
      </c>
      <c r="H240" s="32" t="s">
        <v>13</v>
      </c>
      <c r="I240" s="32" t="s">
        <v>27</v>
      </c>
      <c r="J240" s="32" t="s">
        <v>21</v>
      </c>
      <c r="K240" s="34" t="str">
        <f t="shared" si="12"/>
        <v>Delhi</v>
      </c>
      <c r="L240" t="str">
        <f t="shared" si="15"/>
        <v>Net Banking</v>
      </c>
      <c r="M240" s="34">
        <f t="shared" si="13"/>
        <v>1644</v>
      </c>
      <c r="N240" s="34">
        <f t="shared" si="14"/>
        <v>16</v>
      </c>
    </row>
    <row r="241" spans="1:14" x14ac:dyDescent="0.3">
      <c r="A241" s="33" t="s">
        <v>251</v>
      </c>
      <c r="B241" s="34" t="s">
        <v>222</v>
      </c>
      <c r="C241" s="38" t="s">
        <v>437</v>
      </c>
      <c r="D241" s="34" t="s">
        <v>26</v>
      </c>
      <c r="E241" s="34" t="s">
        <v>11</v>
      </c>
      <c r="F241" s="34">
        <v>4</v>
      </c>
      <c r="G241" s="34">
        <v>22111</v>
      </c>
      <c r="H241" s="34" t="s">
        <v>17</v>
      </c>
      <c r="I241" s="34" t="s">
        <v>32</v>
      </c>
      <c r="J241" s="34" t="s">
        <v>21</v>
      </c>
      <c r="K241" s="34" t="str">
        <f t="shared" si="12"/>
        <v>Mumbai</v>
      </c>
      <c r="L241" t="str">
        <f t="shared" si="15"/>
        <v>Debit Card</v>
      </c>
      <c r="M241" s="34">
        <f t="shared" si="13"/>
        <v>88444</v>
      </c>
      <c r="N241" s="34">
        <f t="shared" si="14"/>
        <v>22</v>
      </c>
    </row>
    <row r="242" spans="1:14" x14ac:dyDescent="0.3">
      <c r="A242" s="31" t="s">
        <v>251</v>
      </c>
      <c r="B242" s="32" t="s">
        <v>148</v>
      </c>
      <c r="C242" s="37" t="s">
        <v>320</v>
      </c>
      <c r="D242" s="32" t="s">
        <v>34</v>
      </c>
      <c r="E242" s="32" t="s">
        <v>11</v>
      </c>
      <c r="F242" s="32">
        <v>1</v>
      </c>
      <c r="G242" s="32">
        <v>25111</v>
      </c>
      <c r="H242" s="32" t="s">
        <v>24</v>
      </c>
      <c r="I242" s="32" t="s">
        <v>27</v>
      </c>
      <c r="J242" s="32" t="s">
        <v>18</v>
      </c>
      <c r="K242" s="34" t="str">
        <f t="shared" si="12"/>
        <v>Pune</v>
      </c>
      <c r="L242" t="str">
        <f t="shared" si="15"/>
        <v>Net Banking</v>
      </c>
      <c r="M242" s="34">
        <f t="shared" si="13"/>
        <v>25111</v>
      </c>
      <c r="N242" s="34">
        <f t="shared" si="14"/>
        <v>11</v>
      </c>
    </row>
    <row r="243" spans="1:14" x14ac:dyDescent="0.3">
      <c r="A243" s="33" t="s">
        <v>252</v>
      </c>
      <c r="B243" s="34" t="s">
        <v>174</v>
      </c>
      <c r="C243" s="38" t="s">
        <v>329</v>
      </c>
      <c r="D243" s="34" t="s">
        <v>30</v>
      </c>
      <c r="E243" s="34" t="s">
        <v>31</v>
      </c>
      <c r="F243" s="34">
        <v>1</v>
      </c>
      <c r="G243" s="34">
        <v>9111</v>
      </c>
      <c r="H243" s="34" t="s">
        <v>13</v>
      </c>
      <c r="I243" s="34" t="s">
        <v>14</v>
      </c>
      <c r="J243" s="34" t="s">
        <v>18</v>
      </c>
      <c r="K243" s="34" t="str">
        <f t="shared" si="12"/>
        <v>Delhi</v>
      </c>
      <c r="L243" t="str">
        <f t="shared" si="15"/>
        <v>Debit Card</v>
      </c>
      <c r="M243" s="34">
        <f t="shared" si="13"/>
        <v>9111</v>
      </c>
      <c r="N243" s="34">
        <f t="shared" si="14"/>
        <v>16</v>
      </c>
    </row>
    <row r="244" spans="1:14" x14ac:dyDescent="0.3">
      <c r="A244" s="31" t="s">
        <v>253</v>
      </c>
      <c r="B244" s="32" t="s">
        <v>118</v>
      </c>
      <c r="C244" s="37" t="s">
        <v>365</v>
      </c>
      <c r="D244" s="32" t="s">
        <v>28</v>
      </c>
      <c r="E244" s="32" t="s">
        <v>23</v>
      </c>
      <c r="F244" s="32">
        <v>4</v>
      </c>
      <c r="G244" s="32">
        <v>1811</v>
      </c>
      <c r="H244" s="32" t="s">
        <v>37</v>
      </c>
      <c r="I244" s="32" t="s">
        <v>14</v>
      </c>
      <c r="J244" s="32" t="s">
        <v>15</v>
      </c>
      <c r="K244" s="34" t="str">
        <f t="shared" si="12"/>
        <v>Jaipur</v>
      </c>
      <c r="L244" t="str">
        <f t="shared" si="15"/>
        <v>Credit Card</v>
      </c>
      <c r="M244" s="34">
        <f t="shared" si="13"/>
        <v>7244</v>
      </c>
      <c r="N244" s="34">
        <f t="shared" si="14"/>
        <v>11</v>
      </c>
    </row>
    <row r="245" spans="1:14" x14ac:dyDescent="0.3">
      <c r="A245" s="33" t="s">
        <v>254</v>
      </c>
      <c r="B245" s="34" t="s">
        <v>255</v>
      </c>
      <c r="C245" s="38" t="s">
        <v>256</v>
      </c>
      <c r="D245" s="34" t="s">
        <v>28</v>
      </c>
      <c r="E245" s="34" t="s">
        <v>23</v>
      </c>
      <c r="F245" s="34">
        <v>1</v>
      </c>
      <c r="G245" s="34">
        <v>711</v>
      </c>
      <c r="H245" s="34" t="s">
        <v>19</v>
      </c>
      <c r="I245" s="34" t="s">
        <v>20</v>
      </c>
      <c r="J245" s="34" t="s">
        <v>21</v>
      </c>
      <c r="K245" s="34" t="str">
        <f t="shared" si="12"/>
        <v>Chennai</v>
      </c>
      <c r="L245" t="str">
        <f t="shared" si="15"/>
        <v>Credit Card</v>
      </c>
      <c r="M245" s="34">
        <f t="shared" si="13"/>
        <v>711</v>
      </c>
      <c r="N245" s="34">
        <f t="shared" si="14"/>
        <v>21</v>
      </c>
    </row>
    <row r="246" spans="1:14" x14ac:dyDescent="0.3">
      <c r="A246" s="31" t="s">
        <v>257</v>
      </c>
      <c r="B246" s="32" t="s">
        <v>143</v>
      </c>
      <c r="C246" s="37" t="s">
        <v>438</v>
      </c>
      <c r="D246" s="32" t="s">
        <v>16</v>
      </c>
      <c r="E246" s="32" t="s">
        <v>11</v>
      </c>
      <c r="F246" s="32">
        <v>2</v>
      </c>
      <c r="G246" s="32">
        <v>61111</v>
      </c>
      <c r="H246" s="32" t="s">
        <v>13</v>
      </c>
      <c r="I246" s="32" t="s">
        <v>27</v>
      </c>
      <c r="J246" s="32" t="s">
        <v>15</v>
      </c>
      <c r="K246" s="34" t="str">
        <f t="shared" si="12"/>
        <v>Delhi</v>
      </c>
      <c r="L246" t="str">
        <f t="shared" si="15"/>
        <v>UPI</v>
      </c>
      <c r="M246" s="34">
        <f t="shared" si="13"/>
        <v>122222</v>
      </c>
      <c r="N246" s="34">
        <f t="shared" si="14"/>
        <v>13</v>
      </c>
    </row>
    <row r="247" spans="1:14" x14ac:dyDescent="0.3">
      <c r="A247" s="33" t="s">
        <v>258</v>
      </c>
      <c r="B247" s="34" t="s">
        <v>199</v>
      </c>
      <c r="C247" s="38" t="s">
        <v>400</v>
      </c>
      <c r="D247" s="34" t="s">
        <v>34</v>
      </c>
      <c r="E247" s="34" t="s">
        <v>11</v>
      </c>
      <c r="F247" s="34">
        <v>1</v>
      </c>
      <c r="G247" s="34">
        <v>25111</v>
      </c>
      <c r="H247" s="34" t="s">
        <v>65</v>
      </c>
      <c r="I247" s="34" t="s">
        <v>25</v>
      </c>
      <c r="J247" s="34" t="s">
        <v>15</v>
      </c>
      <c r="K247" s="34" t="str">
        <f t="shared" si="12"/>
        <v>Unknown</v>
      </c>
      <c r="L247" t="str">
        <f t="shared" si="15"/>
        <v>Debit Card</v>
      </c>
      <c r="M247" s="34">
        <f t="shared" si="13"/>
        <v>25111</v>
      </c>
      <c r="N247" s="34">
        <f t="shared" si="14"/>
        <v>21</v>
      </c>
    </row>
    <row r="248" spans="1:14" x14ac:dyDescent="0.3">
      <c r="A248" s="31" t="s">
        <v>259</v>
      </c>
      <c r="B248" s="32" t="s">
        <v>129</v>
      </c>
      <c r="C248" s="37" t="s">
        <v>260</v>
      </c>
      <c r="D248" s="32" t="s">
        <v>36</v>
      </c>
      <c r="E248" s="32" t="s">
        <v>23</v>
      </c>
      <c r="F248" s="32">
        <v>1</v>
      </c>
      <c r="G248" s="32">
        <v>2511</v>
      </c>
      <c r="H248" s="32" t="s">
        <v>65</v>
      </c>
      <c r="I248" s="32" t="s">
        <v>14</v>
      </c>
      <c r="J248" s="32" t="s">
        <v>18</v>
      </c>
      <c r="K248" s="34" t="str">
        <f t="shared" si="12"/>
        <v>Unknown</v>
      </c>
      <c r="L248" t="str">
        <f t="shared" si="15"/>
        <v>Cash</v>
      </c>
      <c r="M248" s="34">
        <f t="shared" si="13"/>
        <v>2511</v>
      </c>
      <c r="N248" s="34">
        <f t="shared" si="14"/>
        <v>21</v>
      </c>
    </row>
    <row r="249" spans="1:14" x14ac:dyDescent="0.3">
      <c r="A249" s="33" t="s">
        <v>261</v>
      </c>
      <c r="B249" s="34" t="s">
        <v>131</v>
      </c>
      <c r="C249" s="38" t="s">
        <v>319</v>
      </c>
      <c r="D249" s="34" t="s">
        <v>22</v>
      </c>
      <c r="E249" s="34" t="s">
        <v>23</v>
      </c>
      <c r="F249" s="34">
        <v>4</v>
      </c>
      <c r="G249" s="34">
        <v>1111</v>
      </c>
      <c r="H249" s="34" t="s">
        <v>29</v>
      </c>
      <c r="I249" s="34" t="s">
        <v>27</v>
      </c>
      <c r="J249" s="34" t="s">
        <v>21</v>
      </c>
      <c r="K249" s="34" t="str">
        <f t="shared" si="12"/>
        <v>Kolkata</v>
      </c>
      <c r="L249" t="str">
        <f t="shared" si="15"/>
        <v>Credit Card</v>
      </c>
      <c r="M249" s="34">
        <f t="shared" si="13"/>
        <v>4444</v>
      </c>
      <c r="N249" s="34">
        <f t="shared" si="14"/>
        <v>14</v>
      </c>
    </row>
    <row r="250" spans="1:14" x14ac:dyDescent="0.3">
      <c r="A250" s="31" t="s">
        <v>262</v>
      </c>
      <c r="B250" s="32" t="s">
        <v>96</v>
      </c>
      <c r="C250" s="37" t="s">
        <v>335</v>
      </c>
      <c r="D250" s="32" t="s">
        <v>26</v>
      </c>
      <c r="E250" s="32" t="s">
        <v>11</v>
      </c>
      <c r="F250" s="32">
        <v>3</v>
      </c>
      <c r="G250" s="32">
        <v>12111</v>
      </c>
      <c r="H250" s="32" t="s">
        <v>17</v>
      </c>
      <c r="I250" s="32" t="s">
        <v>20</v>
      </c>
      <c r="J250" s="32" t="s">
        <v>21</v>
      </c>
      <c r="K250" s="34" t="str">
        <f t="shared" si="12"/>
        <v>Mumbai</v>
      </c>
      <c r="L250" t="str">
        <f t="shared" si="15"/>
        <v>Debit Card</v>
      </c>
      <c r="M250" s="34">
        <f t="shared" si="13"/>
        <v>36333</v>
      </c>
      <c r="N250" s="34">
        <f t="shared" si="14"/>
        <v>15</v>
      </c>
    </row>
    <row r="251" spans="1:14" x14ac:dyDescent="0.3">
      <c r="A251" s="33" t="s">
        <v>263</v>
      </c>
      <c r="B251" s="34" t="s">
        <v>213</v>
      </c>
      <c r="C251" s="38" t="s">
        <v>332</v>
      </c>
      <c r="D251" s="34" t="s">
        <v>30</v>
      </c>
      <c r="E251" s="34" t="s">
        <v>31</v>
      </c>
      <c r="F251" s="34">
        <v>3</v>
      </c>
      <c r="G251" s="34">
        <v>6511</v>
      </c>
      <c r="H251" s="34" t="s">
        <v>35</v>
      </c>
      <c r="I251" s="34" t="s">
        <v>27</v>
      </c>
      <c r="J251" s="34" t="s">
        <v>21</v>
      </c>
      <c r="K251" s="34" t="str">
        <f t="shared" si="12"/>
        <v>Hyderabad</v>
      </c>
      <c r="L251" t="str">
        <f t="shared" si="15"/>
        <v>UPI</v>
      </c>
      <c r="M251" s="34">
        <f t="shared" si="13"/>
        <v>19533</v>
      </c>
      <c r="N251" s="34">
        <f t="shared" si="14"/>
        <v>24</v>
      </c>
    </row>
    <row r="252" spans="1:14" x14ac:dyDescent="0.3">
      <c r="A252" s="31" t="s">
        <v>263</v>
      </c>
      <c r="B252" s="32" t="s">
        <v>162</v>
      </c>
      <c r="C252" s="37" t="s">
        <v>357</v>
      </c>
      <c r="D252" s="32" t="s">
        <v>22</v>
      </c>
      <c r="E252" s="32" t="s">
        <v>23</v>
      </c>
      <c r="F252" s="32">
        <v>2</v>
      </c>
      <c r="G252" s="32">
        <v>411</v>
      </c>
      <c r="H252" s="32" t="s">
        <v>67</v>
      </c>
      <c r="I252" s="32" t="s">
        <v>27</v>
      </c>
      <c r="J252" s="32" t="s">
        <v>15</v>
      </c>
      <c r="K252" s="34" t="str">
        <f t="shared" si="12"/>
        <v>Bangalore</v>
      </c>
      <c r="L252" t="str">
        <f t="shared" si="15"/>
        <v>Debit Card</v>
      </c>
      <c r="M252" s="34">
        <f t="shared" si="13"/>
        <v>822</v>
      </c>
      <c r="N252" s="34">
        <f t="shared" si="14"/>
        <v>12</v>
      </c>
    </row>
    <row r="253" spans="1:14" x14ac:dyDescent="0.3">
      <c r="A253" s="33" t="s">
        <v>264</v>
      </c>
      <c r="B253" s="34" t="s">
        <v>211</v>
      </c>
      <c r="C253" s="38" t="s">
        <v>405</v>
      </c>
      <c r="D253" s="34" t="s">
        <v>22</v>
      </c>
      <c r="E253" s="34" t="s">
        <v>23</v>
      </c>
      <c r="F253" s="34">
        <v>4</v>
      </c>
      <c r="G253" s="34">
        <v>711</v>
      </c>
      <c r="H253" s="34" t="s">
        <v>13</v>
      </c>
      <c r="I253" s="34" t="s">
        <v>25</v>
      </c>
      <c r="J253" s="34" t="s">
        <v>15</v>
      </c>
      <c r="K253" s="34" t="str">
        <f t="shared" si="12"/>
        <v>Delhi</v>
      </c>
      <c r="L253" t="str">
        <f t="shared" si="15"/>
        <v>Debit Card</v>
      </c>
      <c r="M253" s="34">
        <f t="shared" si="13"/>
        <v>2844</v>
      </c>
      <c r="N253" s="34">
        <f t="shared" si="14"/>
        <v>28</v>
      </c>
    </row>
    <row r="254" spans="1:14" x14ac:dyDescent="0.3">
      <c r="A254" s="31" t="s">
        <v>265</v>
      </c>
      <c r="B254" s="32" t="s">
        <v>129</v>
      </c>
      <c r="C254" s="37" t="s">
        <v>321</v>
      </c>
      <c r="D254" s="32" t="s">
        <v>10</v>
      </c>
      <c r="E254" s="32" t="s">
        <v>11</v>
      </c>
      <c r="F254" s="32">
        <v>4</v>
      </c>
      <c r="G254" s="32">
        <v>42111</v>
      </c>
      <c r="H254" s="32" t="s">
        <v>17</v>
      </c>
      <c r="I254" s="32" t="s">
        <v>27</v>
      </c>
      <c r="J254" s="32" t="s">
        <v>21</v>
      </c>
      <c r="K254" s="34" t="str">
        <f t="shared" si="12"/>
        <v>Mumbai</v>
      </c>
      <c r="L254" t="str">
        <f t="shared" si="15"/>
        <v>Cash</v>
      </c>
      <c r="M254" s="34">
        <f t="shared" si="13"/>
        <v>168444</v>
      </c>
      <c r="N254" s="34">
        <f t="shared" si="14"/>
        <v>19</v>
      </c>
    </row>
    <row r="255" spans="1:14" x14ac:dyDescent="0.3">
      <c r="A255" s="33" t="s">
        <v>266</v>
      </c>
      <c r="B255" s="34" t="s">
        <v>99</v>
      </c>
      <c r="C255" s="38" t="s">
        <v>340</v>
      </c>
      <c r="D255" s="34" t="s">
        <v>36</v>
      </c>
      <c r="E255" s="34" t="s">
        <v>23</v>
      </c>
      <c r="F255" s="34">
        <v>1</v>
      </c>
      <c r="G255" s="34">
        <v>1811</v>
      </c>
      <c r="H255" s="34" t="s">
        <v>17</v>
      </c>
      <c r="I255" s="34" t="s">
        <v>32</v>
      </c>
      <c r="J255" s="34" t="s">
        <v>15</v>
      </c>
      <c r="K255" s="34" t="str">
        <f t="shared" si="12"/>
        <v>Mumbai</v>
      </c>
      <c r="L255" t="str">
        <f t="shared" si="15"/>
        <v>Debit Card</v>
      </c>
      <c r="M255" s="34">
        <f t="shared" si="13"/>
        <v>1811</v>
      </c>
      <c r="N255" s="34">
        <f t="shared" si="14"/>
        <v>21</v>
      </c>
    </row>
    <row r="256" spans="1:14" x14ac:dyDescent="0.3">
      <c r="A256" s="31" t="s">
        <v>267</v>
      </c>
      <c r="B256" s="32" t="s">
        <v>125</v>
      </c>
      <c r="C256" s="37" t="s">
        <v>358</v>
      </c>
      <c r="D256" s="32" t="s">
        <v>30</v>
      </c>
      <c r="E256" s="32" t="s">
        <v>31</v>
      </c>
      <c r="F256" s="32">
        <v>1</v>
      </c>
      <c r="G256" s="32">
        <v>2511</v>
      </c>
      <c r="H256" s="32" t="s">
        <v>67</v>
      </c>
      <c r="I256" s="32" t="s">
        <v>27</v>
      </c>
      <c r="J256" s="32" t="s">
        <v>15</v>
      </c>
      <c r="K256" s="34" t="str">
        <f t="shared" si="12"/>
        <v>Bangalore</v>
      </c>
      <c r="L256" t="str">
        <f t="shared" si="15"/>
        <v>Net Banking</v>
      </c>
      <c r="M256" s="34">
        <f t="shared" si="13"/>
        <v>2511</v>
      </c>
      <c r="N256" s="34">
        <f t="shared" si="14"/>
        <v>21</v>
      </c>
    </row>
    <row r="257" spans="1:14" x14ac:dyDescent="0.3">
      <c r="A257" s="33" t="s">
        <v>268</v>
      </c>
      <c r="B257" s="34" t="s">
        <v>197</v>
      </c>
      <c r="C257" s="38" t="s">
        <v>412</v>
      </c>
      <c r="D257" s="34" t="s">
        <v>26</v>
      </c>
      <c r="E257" s="34" t="s">
        <v>11</v>
      </c>
      <c r="F257" s="34">
        <v>2</v>
      </c>
      <c r="G257" s="34">
        <v>16111</v>
      </c>
      <c r="H257" s="34" t="s">
        <v>24</v>
      </c>
      <c r="I257" s="34" t="s">
        <v>14</v>
      </c>
      <c r="J257" s="34" t="s">
        <v>15</v>
      </c>
      <c r="K257" s="34" t="str">
        <f t="shared" si="12"/>
        <v>Pune</v>
      </c>
      <c r="L257" t="str">
        <f t="shared" si="15"/>
        <v>Debit Card</v>
      </c>
      <c r="M257" s="34">
        <f t="shared" si="13"/>
        <v>32222</v>
      </c>
      <c r="N257" s="34">
        <f t="shared" si="14"/>
        <v>22</v>
      </c>
    </row>
    <row r="258" spans="1:14" x14ac:dyDescent="0.3">
      <c r="A258" s="31" t="s">
        <v>269</v>
      </c>
      <c r="B258" s="32" t="s">
        <v>92</v>
      </c>
      <c r="C258" s="37" t="s">
        <v>439</v>
      </c>
      <c r="D258" s="32" t="s">
        <v>16</v>
      </c>
      <c r="E258" s="32" t="s">
        <v>11</v>
      </c>
      <c r="F258" s="32">
        <v>3</v>
      </c>
      <c r="G258" s="32">
        <v>61111</v>
      </c>
      <c r="H258" s="32" t="s">
        <v>67</v>
      </c>
      <c r="I258" s="32" t="s">
        <v>14</v>
      </c>
      <c r="J258" s="32" t="s">
        <v>18</v>
      </c>
      <c r="K258" s="34" t="str">
        <f t="shared" ref="K258:K301" si="16">PROPER(TRIM(H258))</f>
        <v>Bangalore</v>
      </c>
      <c r="L258" t="str">
        <f t="shared" si="15"/>
        <v>Credit Card</v>
      </c>
      <c r="M258" s="34">
        <f t="shared" ref="M258:M301" si="17">IFERROR(F258*G258,0)</f>
        <v>183333</v>
      </c>
      <c r="N258" s="34">
        <f t="shared" ref="N258:N301" si="18">IFERROR(VALUE(LEFT(C258,2)),"")</f>
        <v>13</v>
      </c>
    </row>
    <row r="259" spans="1:14" x14ac:dyDescent="0.3">
      <c r="A259" s="33" t="s">
        <v>270</v>
      </c>
      <c r="B259" s="34" t="s">
        <v>181</v>
      </c>
      <c r="C259" s="38" t="s">
        <v>384</v>
      </c>
      <c r="D259" s="34" t="s">
        <v>16</v>
      </c>
      <c r="E259" s="34" t="s">
        <v>11</v>
      </c>
      <c r="F259" s="34">
        <v>2</v>
      </c>
      <c r="G259" s="34">
        <v>52111</v>
      </c>
      <c r="H259" s="34" t="s">
        <v>37</v>
      </c>
      <c r="I259" s="34" t="s">
        <v>25</v>
      </c>
      <c r="J259" s="34" t="s">
        <v>21</v>
      </c>
      <c r="K259" s="34" t="str">
        <f t="shared" si="16"/>
        <v>Jaipur</v>
      </c>
      <c r="L259" t="str">
        <f t="shared" si="15"/>
        <v>Credit Card</v>
      </c>
      <c r="M259" s="34">
        <f t="shared" si="17"/>
        <v>104222</v>
      </c>
      <c r="N259" s="34">
        <f t="shared" si="18"/>
        <v>31</v>
      </c>
    </row>
    <row r="260" spans="1:14" x14ac:dyDescent="0.3">
      <c r="A260" s="31" t="s">
        <v>271</v>
      </c>
      <c r="B260" s="32" t="s">
        <v>74</v>
      </c>
      <c r="C260" s="37" t="s">
        <v>411</v>
      </c>
      <c r="D260" s="32" t="s">
        <v>16</v>
      </c>
      <c r="E260" s="32" t="s">
        <v>23</v>
      </c>
      <c r="F260" s="32">
        <v>1</v>
      </c>
      <c r="G260" s="32">
        <v>1111</v>
      </c>
      <c r="H260" s="32" t="s">
        <v>24</v>
      </c>
      <c r="I260" s="32" t="s">
        <v>25</v>
      </c>
      <c r="J260" s="32" t="s">
        <v>21</v>
      </c>
      <c r="K260" s="34" t="str">
        <f t="shared" si="16"/>
        <v>Pune</v>
      </c>
      <c r="L260" t="str">
        <f t="shared" ref="L260:L301" si="19">IF(UPPER(TRIM(I259))="UPI","UPI",PROPER(TRIM(I259)))</f>
        <v>Cash</v>
      </c>
      <c r="M260" s="34">
        <f t="shared" si="17"/>
        <v>1111</v>
      </c>
      <c r="N260" s="34">
        <f t="shared" si="18"/>
        <v>14</v>
      </c>
    </row>
    <row r="261" spans="1:14" x14ac:dyDescent="0.3">
      <c r="A261" s="33" t="s">
        <v>272</v>
      </c>
      <c r="B261" s="34" t="s">
        <v>109</v>
      </c>
      <c r="C261" s="38" t="s">
        <v>440</v>
      </c>
      <c r="D261" s="34" t="s">
        <v>36</v>
      </c>
      <c r="E261" s="34" t="s">
        <v>23</v>
      </c>
      <c r="F261" s="34">
        <v>2</v>
      </c>
      <c r="G261" s="34">
        <v>3511</v>
      </c>
      <c r="H261" s="34" t="s">
        <v>13</v>
      </c>
      <c r="I261" s="34" t="s">
        <v>27</v>
      </c>
      <c r="J261" s="34" t="s">
        <v>15</v>
      </c>
      <c r="K261" s="34" t="str">
        <f t="shared" si="16"/>
        <v>Delhi</v>
      </c>
      <c r="L261" t="str">
        <f t="shared" si="19"/>
        <v>Cash</v>
      </c>
      <c r="M261" s="34">
        <f t="shared" si="17"/>
        <v>7022</v>
      </c>
      <c r="N261" s="34">
        <f t="shared" si="18"/>
        <v>23</v>
      </c>
    </row>
    <row r="262" spans="1:14" x14ac:dyDescent="0.3">
      <c r="A262" s="31" t="s">
        <v>272</v>
      </c>
      <c r="B262" s="32" t="s">
        <v>74</v>
      </c>
      <c r="C262" s="37" t="s">
        <v>441</v>
      </c>
      <c r="D262" s="32" t="s">
        <v>10</v>
      </c>
      <c r="E262" s="32" t="s">
        <v>11</v>
      </c>
      <c r="F262" s="32">
        <v>4</v>
      </c>
      <c r="G262" s="32">
        <v>22111</v>
      </c>
      <c r="H262" s="32" t="s">
        <v>35</v>
      </c>
      <c r="I262" s="32" t="s">
        <v>14</v>
      </c>
      <c r="J262" s="32" t="s">
        <v>21</v>
      </c>
      <c r="K262" s="34" t="str">
        <f t="shared" si="16"/>
        <v>Hyderabad</v>
      </c>
      <c r="L262" t="str">
        <f t="shared" si="19"/>
        <v>Debit Card</v>
      </c>
      <c r="M262" s="34">
        <f t="shared" si="17"/>
        <v>88444</v>
      </c>
      <c r="N262" s="34">
        <f t="shared" si="18"/>
        <v>24</v>
      </c>
    </row>
    <row r="263" spans="1:14" x14ac:dyDescent="0.3">
      <c r="A263" s="33" t="s">
        <v>273</v>
      </c>
      <c r="B263" s="34" t="s">
        <v>118</v>
      </c>
      <c r="C263" s="38" t="s">
        <v>376</v>
      </c>
      <c r="D263" s="34" t="s">
        <v>30</v>
      </c>
      <c r="E263" s="34" t="s">
        <v>31</v>
      </c>
      <c r="F263" s="34">
        <v>3</v>
      </c>
      <c r="G263" s="34">
        <v>4111</v>
      </c>
      <c r="H263" s="34" t="s">
        <v>13</v>
      </c>
      <c r="I263" s="34" t="s">
        <v>39</v>
      </c>
      <c r="J263" s="34" t="s">
        <v>18</v>
      </c>
      <c r="K263" s="34" t="str">
        <f t="shared" si="16"/>
        <v>Delhi</v>
      </c>
      <c r="L263" t="str">
        <f t="shared" si="19"/>
        <v>Credit Card</v>
      </c>
      <c r="M263" s="34">
        <f t="shared" si="17"/>
        <v>12333</v>
      </c>
      <c r="N263" s="34">
        <f t="shared" si="18"/>
        <v>16</v>
      </c>
    </row>
    <row r="264" spans="1:14" x14ac:dyDescent="0.3">
      <c r="A264" s="31" t="s">
        <v>274</v>
      </c>
      <c r="B264" s="32" t="s">
        <v>115</v>
      </c>
      <c r="C264" s="37" t="s">
        <v>411</v>
      </c>
      <c r="D264" s="32" t="s">
        <v>28</v>
      </c>
      <c r="E264" s="32" t="s">
        <v>23</v>
      </c>
      <c r="F264" s="32">
        <v>4</v>
      </c>
      <c r="G264" s="32">
        <v>711</v>
      </c>
      <c r="H264" s="32" t="s">
        <v>29</v>
      </c>
      <c r="I264" s="32" t="s">
        <v>25</v>
      </c>
      <c r="J264" s="32" t="s">
        <v>65</v>
      </c>
      <c r="K264" s="34" t="str">
        <f t="shared" si="16"/>
        <v>Kolkata</v>
      </c>
      <c r="L264" t="str">
        <f t="shared" si="19"/>
        <v>UPI</v>
      </c>
      <c r="M264" s="34">
        <f t="shared" si="17"/>
        <v>2844</v>
      </c>
      <c r="N264" s="34">
        <f t="shared" si="18"/>
        <v>14</v>
      </c>
    </row>
    <row r="265" spans="1:14" x14ac:dyDescent="0.3">
      <c r="A265" s="33" t="s">
        <v>275</v>
      </c>
      <c r="B265" s="34" t="s">
        <v>127</v>
      </c>
      <c r="C265" s="38" t="s">
        <v>342</v>
      </c>
      <c r="D265" s="34" t="s">
        <v>10</v>
      </c>
      <c r="E265" s="34" t="s">
        <v>11</v>
      </c>
      <c r="F265" s="34">
        <v>1</v>
      </c>
      <c r="G265" s="34">
        <v>15111</v>
      </c>
      <c r="H265" s="34" t="s">
        <v>24</v>
      </c>
      <c r="I265" s="34" t="s">
        <v>20</v>
      </c>
      <c r="J265" s="34" t="s">
        <v>18</v>
      </c>
      <c r="K265" s="34" t="str">
        <f t="shared" si="16"/>
        <v>Pune</v>
      </c>
      <c r="L265" t="str">
        <f t="shared" si="19"/>
        <v>Cash</v>
      </c>
      <c r="M265" s="34">
        <f t="shared" si="17"/>
        <v>15111</v>
      </c>
      <c r="N265" s="34">
        <f t="shared" si="18"/>
        <v>13</v>
      </c>
    </row>
    <row r="266" spans="1:14" x14ac:dyDescent="0.3">
      <c r="A266" s="31" t="s">
        <v>276</v>
      </c>
      <c r="B266" s="32" t="s">
        <v>87</v>
      </c>
      <c r="C266" s="37" t="s">
        <v>343</v>
      </c>
      <c r="D266" s="32" t="s">
        <v>26</v>
      </c>
      <c r="E266" s="32" t="s">
        <v>11</v>
      </c>
      <c r="F266" s="32">
        <v>2</v>
      </c>
      <c r="G266" s="32">
        <v>22111</v>
      </c>
      <c r="H266" s="32" t="s">
        <v>66</v>
      </c>
      <c r="I266" s="32" t="s">
        <v>14</v>
      </c>
      <c r="J266" s="32" t="s">
        <v>21</v>
      </c>
      <c r="K266" s="34" t="str">
        <f t="shared" si="16"/>
        <v>Mumbai</v>
      </c>
      <c r="L266" t="str">
        <f t="shared" si="19"/>
        <v>UPI</v>
      </c>
      <c r="M266" s="34">
        <f t="shared" si="17"/>
        <v>44222</v>
      </c>
      <c r="N266" s="34">
        <f t="shared" si="18"/>
        <v>29</v>
      </c>
    </row>
    <row r="267" spans="1:14" x14ac:dyDescent="0.3">
      <c r="A267" s="33" t="s">
        <v>277</v>
      </c>
      <c r="B267" s="34" t="s">
        <v>218</v>
      </c>
      <c r="C267" s="38" t="s">
        <v>439</v>
      </c>
      <c r="D267" s="34" t="s">
        <v>16</v>
      </c>
      <c r="E267" s="34" t="s">
        <v>11</v>
      </c>
      <c r="F267" s="34">
        <v>2</v>
      </c>
      <c r="G267" s="34">
        <v>45111</v>
      </c>
      <c r="H267" s="34" t="s">
        <v>37</v>
      </c>
      <c r="I267" s="34" t="s">
        <v>14</v>
      </c>
      <c r="J267" s="34" t="s">
        <v>18</v>
      </c>
      <c r="K267" s="34" t="str">
        <f t="shared" si="16"/>
        <v>Jaipur</v>
      </c>
      <c r="L267" t="str">
        <f t="shared" si="19"/>
        <v>Credit Card</v>
      </c>
      <c r="M267" s="34">
        <f t="shared" si="17"/>
        <v>90222</v>
      </c>
      <c r="N267" s="34">
        <f t="shared" si="18"/>
        <v>13</v>
      </c>
    </row>
    <row r="268" spans="1:14" x14ac:dyDescent="0.3">
      <c r="A268" s="31" t="s">
        <v>278</v>
      </c>
      <c r="B268" s="32" t="s">
        <v>148</v>
      </c>
      <c r="C268" s="37" t="s">
        <v>323</v>
      </c>
      <c r="D268" s="32" t="s">
        <v>30</v>
      </c>
      <c r="E268" s="32" t="s">
        <v>31</v>
      </c>
      <c r="F268" s="32">
        <v>1</v>
      </c>
      <c r="G268" s="32">
        <v>4111</v>
      </c>
      <c r="H268" s="32" t="s">
        <v>13</v>
      </c>
      <c r="I268" s="32" t="s">
        <v>25</v>
      </c>
      <c r="J268" s="32" t="s">
        <v>21</v>
      </c>
      <c r="K268" s="34" t="str">
        <f t="shared" si="16"/>
        <v>Delhi</v>
      </c>
      <c r="L268" t="str">
        <f t="shared" si="19"/>
        <v>Credit Card</v>
      </c>
      <c r="M268" s="34">
        <f t="shared" si="17"/>
        <v>4111</v>
      </c>
      <c r="N268" s="34">
        <f t="shared" si="18"/>
        <v>19</v>
      </c>
    </row>
    <row r="269" spans="1:14" x14ac:dyDescent="0.3">
      <c r="A269" s="33" t="s">
        <v>279</v>
      </c>
      <c r="B269" s="34" t="s">
        <v>78</v>
      </c>
      <c r="C269" s="38" t="s">
        <v>442</v>
      </c>
      <c r="D269" s="34" t="s">
        <v>10</v>
      </c>
      <c r="E269" s="34" t="s">
        <v>23</v>
      </c>
      <c r="F269" s="34" t="s">
        <v>40</v>
      </c>
      <c r="G269" s="34">
        <v>1811</v>
      </c>
      <c r="H269" s="34" t="s">
        <v>35</v>
      </c>
      <c r="I269" s="34" t="s">
        <v>14</v>
      </c>
      <c r="J269" s="34" t="s">
        <v>15</v>
      </c>
      <c r="K269" s="34" t="str">
        <f t="shared" si="16"/>
        <v>Hyderabad</v>
      </c>
      <c r="L269" t="str">
        <f t="shared" si="19"/>
        <v>Cash</v>
      </c>
      <c r="M269" s="34">
        <f t="shared" si="17"/>
        <v>7244</v>
      </c>
      <c r="N269" s="34">
        <f t="shared" si="18"/>
        <v>16</v>
      </c>
    </row>
    <row r="270" spans="1:14" x14ac:dyDescent="0.3">
      <c r="A270" s="31" t="s">
        <v>280</v>
      </c>
      <c r="B270" s="32" t="s">
        <v>118</v>
      </c>
      <c r="C270" s="37" t="s">
        <v>404</v>
      </c>
      <c r="D270" s="32" t="s">
        <v>30</v>
      </c>
      <c r="E270" s="32" t="s">
        <v>31</v>
      </c>
      <c r="F270" s="32">
        <v>3</v>
      </c>
      <c r="G270" s="32">
        <v>9111</v>
      </c>
      <c r="H270" s="32" t="s">
        <v>35</v>
      </c>
      <c r="I270" s="32" t="s">
        <v>25</v>
      </c>
      <c r="J270" s="32" t="s">
        <v>21</v>
      </c>
      <c r="K270" s="34" t="str">
        <f t="shared" si="16"/>
        <v>Hyderabad</v>
      </c>
      <c r="L270" t="str">
        <f t="shared" si="19"/>
        <v>Credit Card</v>
      </c>
      <c r="M270" s="34">
        <f t="shared" si="17"/>
        <v>27333</v>
      </c>
      <c r="N270" s="34">
        <f t="shared" si="18"/>
        <v>11</v>
      </c>
    </row>
    <row r="271" spans="1:14" x14ac:dyDescent="0.3">
      <c r="A271" s="33" t="s">
        <v>281</v>
      </c>
      <c r="B271" s="34" t="s">
        <v>86</v>
      </c>
      <c r="C271" s="38" t="s">
        <v>356</v>
      </c>
      <c r="D271" s="34" t="s">
        <v>30</v>
      </c>
      <c r="E271" s="34" t="s">
        <v>31</v>
      </c>
      <c r="F271" s="34">
        <v>1</v>
      </c>
      <c r="G271" s="34">
        <v>9111</v>
      </c>
      <c r="H271" s="34" t="s">
        <v>37</v>
      </c>
      <c r="I271" s="34" t="s">
        <v>20</v>
      </c>
      <c r="J271" s="34" t="s">
        <v>21</v>
      </c>
      <c r="K271" s="34" t="str">
        <f t="shared" si="16"/>
        <v>Jaipur</v>
      </c>
      <c r="L271" t="str">
        <f t="shared" si="19"/>
        <v>Cash</v>
      </c>
      <c r="M271" s="34">
        <f t="shared" si="17"/>
        <v>9111</v>
      </c>
      <c r="N271" s="34">
        <f t="shared" si="18"/>
        <v>31</v>
      </c>
    </row>
    <row r="272" spans="1:14" x14ac:dyDescent="0.3">
      <c r="A272" s="31" t="s">
        <v>281</v>
      </c>
      <c r="B272" s="32" t="s">
        <v>227</v>
      </c>
      <c r="C272" s="37" t="s">
        <v>381</v>
      </c>
      <c r="D272" s="32" t="s">
        <v>22</v>
      </c>
      <c r="E272" s="32" t="s">
        <v>23</v>
      </c>
      <c r="F272" s="32">
        <v>2</v>
      </c>
      <c r="G272" s="32">
        <v>411</v>
      </c>
      <c r="H272" s="32" t="s">
        <v>35</v>
      </c>
      <c r="I272" s="32" t="s">
        <v>20</v>
      </c>
      <c r="J272" s="32" t="s">
        <v>15</v>
      </c>
      <c r="K272" s="34" t="str">
        <f t="shared" si="16"/>
        <v>Hyderabad</v>
      </c>
      <c r="L272" t="str">
        <f t="shared" si="19"/>
        <v>UPI</v>
      </c>
      <c r="M272" s="34">
        <f t="shared" si="17"/>
        <v>822</v>
      </c>
      <c r="N272" s="34">
        <f t="shared" si="18"/>
        <v>13</v>
      </c>
    </row>
    <row r="273" spans="1:14" x14ac:dyDescent="0.3">
      <c r="A273" s="33" t="s">
        <v>282</v>
      </c>
      <c r="B273" s="34" t="s">
        <v>231</v>
      </c>
      <c r="C273" s="38" t="s">
        <v>418</v>
      </c>
      <c r="D273" s="34" t="s">
        <v>28</v>
      </c>
      <c r="E273" s="34" t="s">
        <v>23</v>
      </c>
      <c r="F273" s="34">
        <v>1</v>
      </c>
      <c r="G273" s="40">
        <v>1811</v>
      </c>
      <c r="H273" s="34" t="s">
        <v>17</v>
      </c>
      <c r="I273" s="34" t="s">
        <v>25</v>
      </c>
      <c r="J273" s="34" t="s">
        <v>15</v>
      </c>
      <c r="K273" s="34" t="str">
        <f t="shared" si="16"/>
        <v>Mumbai</v>
      </c>
      <c r="L273" t="str">
        <f t="shared" si="19"/>
        <v>UPI</v>
      </c>
      <c r="M273" s="34">
        <f t="shared" si="17"/>
        <v>1811</v>
      </c>
      <c r="N273" s="34">
        <f t="shared" si="18"/>
        <v>26</v>
      </c>
    </row>
    <row r="274" spans="1:14" x14ac:dyDescent="0.3">
      <c r="A274" s="31" t="s">
        <v>283</v>
      </c>
      <c r="B274" s="32" t="s">
        <v>74</v>
      </c>
      <c r="C274" s="37" t="s">
        <v>284</v>
      </c>
      <c r="D274" s="32" t="s">
        <v>22</v>
      </c>
      <c r="E274" s="32" t="s">
        <v>23</v>
      </c>
      <c r="F274" s="32">
        <v>2</v>
      </c>
      <c r="G274" s="32">
        <v>711</v>
      </c>
      <c r="H274" s="32" t="s">
        <v>13</v>
      </c>
      <c r="I274" s="32" t="s">
        <v>25</v>
      </c>
      <c r="J274" s="32" t="s">
        <v>18</v>
      </c>
      <c r="K274" s="34" t="str">
        <f t="shared" si="16"/>
        <v>Delhi</v>
      </c>
      <c r="L274" t="str">
        <f t="shared" si="19"/>
        <v>Cash</v>
      </c>
      <c r="M274" s="34">
        <f t="shared" si="17"/>
        <v>1422</v>
      </c>
      <c r="N274" s="34">
        <f t="shared" si="18"/>
        <v>21</v>
      </c>
    </row>
    <row r="275" spans="1:14" x14ac:dyDescent="0.3">
      <c r="A275" s="33" t="s">
        <v>285</v>
      </c>
      <c r="B275" s="34" t="s">
        <v>197</v>
      </c>
      <c r="C275" s="38" t="s">
        <v>440</v>
      </c>
      <c r="D275" s="34" t="s">
        <v>36</v>
      </c>
      <c r="E275" s="34" t="s">
        <v>23</v>
      </c>
      <c r="F275" s="34">
        <v>4</v>
      </c>
      <c r="G275" s="34">
        <v>3511</v>
      </c>
      <c r="H275" s="34" t="s">
        <v>29</v>
      </c>
      <c r="I275" s="34" t="s">
        <v>32</v>
      </c>
      <c r="J275" s="34" t="s">
        <v>18</v>
      </c>
      <c r="K275" s="34" t="str">
        <f t="shared" si="16"/>
        <v>Kolkata</v>
      </c>
      <c r="L275" t="str">
        <f t="shared" si="19"/>
        <v>Cash</v>
      </c>
      <c r="M275" s="34">
        <f t="shared" si="17"/>
        <v>14044</v>
      </c>
      <c r="N275" s="34">
        <f t="shared" si="18"/>
        <v>23</v>
      </c>
    </row>
    <row r="276" spans="1:14" x14ac:dyDescent="0.3">
      <c r="A276" s="31" t="s">
        <v>286</v>
      </c>
      <c r="B276" s="32" t="s">
        <v>146</v>
      </c>
      <c r="C276" s="37" t="s">
        <v>362</v>
      </c>
      <c r="D276" s="32" t="s">
        <v>34</v>
      </c>
      <c r="E276" s="32" t="s">
        <v>11</v>
      </c>
      <c r="F276" s="32">
        <v>2</v>
      </c>
      <c r="G276" s="32">
        <v>18111</v>
      </c>
      <c r="H276" s="32" t="s">
        <v>24</v>
      </c>
      <c r="I276" s="32" t="s">
        <v>32</v>
      </c>
      <c r="J276" s="32" t="s">
        <v>18</v>
      </c>
      <c r="K276" s="34" t="str">
        <f t="shared" si="16"/>
        <v>Pune</v>
      </c>
      <c r="L276" t="str">
        <f t="shared" si="19"/>
        <v>Net Banking</v>
      </c>
      <c r="M276" s="34">
        <f t="shared" si="17"/>
        <v>36222</v>
      </c>
      <c r="N276" s="34">
        <f t="shared" si="18"/>
        <v>15</v>
      </c>
    </row>
    <row r="277" spans="1:14" x14ac:dyDescent="0.3">
      <c r="A277" s="33" t="s">
        <v>287</v>
      </c>
      <c r="B277" s="34" t="s">
        <v>288</v>
      </c>
      <c r="C277" s="38" t="s">
        <v>408</v>
      </c>
      <c r="D277" s="34" t="s">
        <v>28</v>
      </c>
      <c r="E277" s="34" t="s">
        <v>23</v>
      </c>
      <c r="F277" s="34">
        <v>2</v>
      </c>
      <c r="G277" s="34">
        <v>1811</v>
      </c>
      <c r="H277" s="34" t="s">
        <v>35</v>
      </c>
      <c r="I277" s="34" t="s">
        <v>32</v>
      </c>
      <c r="J277" s="34" t="s">
        <v>21</v>
      </c>
      <c r="K277" s="34" t="str">
        <f t="shared" si="16"/>
        <v>Hyderabad</v>
      </c>
      <c r="L277" t="str">
        <f t="shared" si="19"/>
        <v>Net Banking</v>
      </c>
      <c r="M277" s="34">
        <f t="shared" si="17"/>
        <v>3622</v>
      </c>
      <c r="N277" s="34">
        <f t="shared" si="18"/>
        <v>31</v>
      </c>
    </row>
    <row r="278" spans="1:14" x14ac:dyDescent="0.3">
      <c r="A278" s="31" t="s">
        <v>289</v>
      </c>
      <c r="B278" s="32" t="s">
        <v>138</v>
      </c>
      <c r="C278" s="37" t="s">
        <v>373</v>
      </c>
      <c r="D278" s="32" t="s">
        <v>34</v>
      </c>
      <c r="E278" s="32" t="s">
        <v>11</v>
      </c>
      <c r="F278" s="32" t="s">
        <v>41</v>
      </c>
      <c r="G278" s="32">
        <v>12111</v>
      </c>
      <c r="H278" s="32" t="s">
        <v>17</v>
      </c>
      <c r="I278" s="32" t="s">
        <v>27</v>
      </c>
      <c r="J278" s="32" t="s">
        <v>21</v>
      </c>
      <c r="K278" s="34" t="str">
        <f t="shared" si="16"/>
        <v>Mumbai</v>
      </c>
      <c r="L278" t="str">
        <f t="shared" si="19"/>
        <v>Net Banking</v>
      </c>
      <c r="M278" s="34">
        <f t="shared" si="17"/>
        <v>36333</v>
      </c>
      <c r="N278" s="34">
        <f t="shared" si="18"/>
        <v>13</v>
      </c>
    </row>
    <row r="279" spans="1:14" x14ac:dyDescent="0.3">
      <c r="A279" s="33" t="s">
        <v>290</v>
      </c>
      <c r="B279" s="34" t="s">
        <v>115</v>
      </c>
      <c r="C279" s="38" t="s">
        <v>314</v>
      </c>
      <c r="D279" s="34" t="s">
        <v>22</v>
      </c>
      <c r="E279" s="34" t="s">
        <v>23</v>
      </c>
      <c r="F279" s="34">
        <v>2</v>
      </c>
      <c r="G279" s="34">
        <v>411</v>
      </c>
      <c r="H279" s="34" t="s">
        <v>67</v>
      </c>
      <c r="I279" s="34" t="s">
        <v>32</v>
      </c>
      <c r="J279" s="34" t="s">
        <v>18</v>
      </c>
      <c r="K279" s="34" t="str">
        <f t="shared" si="16"/>
        <v>Bangalore</v>
      </c>
      <c r="L279" t="str">
        <f t="shared" si="19"/>
        <v>Debit Card</v>
      </c>
      <c r="M279" s="34">
        <f t="shared" si="17"/>
        <v>822</v>
      </c>
      <c r="N279" s="34">
        <f t="shared" si="18"/>
        <v>12</v>
      </c>
    </row>
    <row r="280" spans="1:14" x14ac:dyDescent="0.3">
      <c r="A280" s="31" t="s">
        <v>291</v>
      </c>
      <c r="B280" s="32" t="s">
        <v>107</v>
      </c>
      <c r="C280" s="37" t="s">
        <v>431</v>
      </c>
      <c r="D280" s="32" t="s">
        <v>28</v>
      </c>
      <c r="E280" s="32" t="s">
        <v>23</v>
      </c>
      <c r="F280" s="32">
        <v>3</v>
      </c>
      <c r="G280" s="32">
        <v>1211</v>
      </c>
      <c r="H280" s="32" t="s">
        <v>35</v>
      </c>
      <c r="I280" s="32" t="s">
        <v>14</v>
      </c>
      <c r="J280" s="32" t="s">
        <v>21</v>
      </c>
      <c r="K280" s="34" t="str">
        <f t="shared" si="16"/>
        <v>Hyderabad</v>
      </c>
      <c r="L280" t="str">
        <f t="shared" si="19"/>
        <v>Net Banking</v>
      </c>
      <c r="M280" s="34">
        <f t="shared" si="17"/>
        <v>3633</v>
      </c>
      <c r="N280" s="34">
        <f t="shared" si="18"/>
        <v>19</v>
      </c>
    </row>
    <row r="281" spans="1:14" x14ac:dyDescent="0.3">
      <c r="A281" s="33" t="s">
        <v>292</v>
      </c>
      <c r="B281" s="34" t="s">
        <v>74</v>
      </c>
      <c r="C281" s="38" t="s">
        <v>400</v>
      </c>
      <c r="D281" s="34" t="s">
        <v>26</v>
      </c>
      <c r="E281" s="34" t="s">
        <v>11</v>
      </c>
      <c r="F281" s="34">
        <v>2</v>
      </c>
      <c r="G281" s="34">
        <v>9111</v>
      </c>
      <c r="H281" s="34" t="s">
        <v>19</v>
      </c>
      <c r="I281" s="34" t="s">
        <v>20</v>
      </c>
      <c r="J281" s="34" t="s">
        <v>18</v>
      </c>
      <c r="K281" s="34" t="str">
        <f t="shared" si="16"/>
        <v>Chennai</v>
      </c>
      <c r="L281" t="str">
        <f t="shared" si="19"/>
        <v>Credit Card</v>
      </c>
      <c r="M281" s="34">
        <f t="shared" si="17"/>
        <v>18222</v>
      </c>
      <c r="N281" s="34">
        <f t="shared" si="18"/>
        <v>21</v>
      </c>
    </row>
    <row r="282" spans="1:14" x14ac:dyDescent="0.3">
      <c r="A282" s="31" t="s">
        <v>292</v>
      </c>
      <c r="B282" s="32" t="s">
        <v>293</v>
      </c>
      <c r="C282" s="37" t="s">
        <v>443</v>
      </c>
      <c r="D282" s="32" t="s">
        <v>22</v>
      </c>
      <c r="E282" s="32" t="s">
        <v>23</v>
      </c>
      <c r="F282" s="32">
        <v>3</v>
      </c>
      <c r="G282" s="32">
        <v>711</v>
      </c>
      <c r="H282" s="32" t="s">
        <v>37</v>
      </c>
      <c r="I282" s="32" t="s">
        <v>32</v>
      </c>
      <c r="J282" s="32" t="s">
        <v>21</v>
      </c>
      <c r="K282" s="34" t="str">
        <f t="shared" si="16"/>
        <v>Jaipur</v>
      </c>
      <c r="L282" t="str">
        <f t="shared" si="19"/>
        <v>UPI</v>
      </c>
      <c r="M282" s="34">
        <f t="shared" si="17"/>
        <v>2133</v>
      </c>
      <c r="N282" s="34">
        <f t="shared" si="18"/>
        <v>21</v>
      </c>
    </row>
    <row r="283" spans="1:14" x14ac:dyDescent="0.3">
      <c r="A283" s="33" t="s">
        <v>294</v>
      </c>
      <c r="B283" s="34" t="s">
        <v>123</v>
      </c>
      <c r="C283" s="38" t="s">
        <v>366</v>
      </c>
      <c r="D283" s="34" t="s">
        <v>22</v>
      </c>
      <c r="E283" s="34" t="s">
        <v>23</v>
      </c>
      <c r="F283" s="34">
        <v>4</v>
      </c>
      <c r="G283" s="34">
        <v>411</v>
      </c>
      <c r="H283" s="34" t="s">
        <v>19</v>
      </c>
      <c r="I283" s="34" t="s">
        <v>20</v>
      </c>
      <c r="J283" s="34" t="s">
        <v>18</v>
      </c>
      <c r="K283" s="34" t="str">
        <f t="shared" si="16"/>
        <v>Chennai</v>
      </c>
      <c r="L283" t="str">
        <f t="shared" si="19"/>
        <v>Net Banking</v>
      </c>
      <c r="M283" s="34">
        <f t="shared" si="17"/>
        <v>1644</v>
      </c>
      <c r="N283" s="34">
        <f t="shared" si="18"/>
        <v>11</v>
      </c>
    </row>
    <row r="284" spans="1:14" x14ac:dyDescent="0.3">
      <c r="A284" s="31" t="s">
        <v>295</v>
      </c>
      <c r="B284" s="32" t="s">
        <v>158</v>
      </c>
      <c r="C284" s="37" t="s">
        <v>323</v>
      </c>
      <c r="D284" s="32" t="s">
        <v>28</v>
      </c>
      <c r="E284" s="32" t="s">
        <v>23</v>
      </c>
      <c r="F284" s="32">
        <v>2</v>
      </c>
      <c r="G284" s="32">
        <v>1211</v>
      </c>
      <c r="H284" s="32" t="s">
        <v>35</v>
      </c>
      <c r="I284" s="32" t="s">
        <v>14</v>
      </c>
      <c r="J284" s="32" t="s">
        <v>21</v>
      </c>
      <c r="K284" s="34" t="str">
        <f t="shared" si="16"/>
        <v>Hyderabad</v>
      </c>
      <c r="L284" t="str">
        <f t="shared" si="19"/>
        <v>UPI</v>
      </c>
      <c r="M284" s="34">
        <f t="shared" si="17"/>
        <v>2422</v>
      </c>
      <c r="N284" s="34">
        <f t="shared" si="18"/>
        <v>19</v>
      </c>
    </row>
    <row r="285" spans="1:14" x14ac:dyDescent="0.3">
      <c r="A285" s="33" t="s">
        <v>296</v>
      </c>
      <c r="B285" s="34" t="s">
        <v>109</v>
      </c>
      <c r="C285" s="38" t="s">
        <v>400</v>
      </c>
      <c r="D285" s="34" t="s">
        <v>28</v>
      </c>
      <c r="E285" s="34" t="s">
        <v>23</v>
      </c>
      <c r="F285" s="34">
        <v>1</v>
      </c>
      <c r="G285" s="34">
        <v>1211</v>
      </c>
      <c r="H285" s="34" t="s">
        <v>35</v>
      </c>
      <c r="I285" s="34" t="s">
        <v>25</v>
      </c>
      <c r="J285" s="34" t="s">
        <v>15</v>
      </c>
      <c r="K285" s="34" t="str">
        <f t="shared" si="16"/>
        <v>Hyderabad</v>
      </c>
      <c r="L285" t="str">
        <f t="shared" si="19"/>
        <v>Credit Card</v>
      </c>
      <c r="M285" s="34">
        <f t="shared" si="17"/>
        <v>1211</v>
      </c>
      <c r="N285" s="34">
        <f t="shared" si="18"/>
        <v>21</v>
      </c>
    </row>
    <row r="286" spans="1:14" x14ac:dyDescent="0.3">
      <c r="A286" s="31" t="s">
        <v>297</v>
      </c>
      <c r="B286" s="32" t="s">
        <v>127</v>
      </c>
      <c r="C286" s="37" t="s">
        <v>393</v>
      </c>
      <c r="D286" s="32" t="s">
        <v>22</v>
      </c>
      <c r="E286" s="32" t="s">
        <v>23</v>
      </c>
      <c r="F286" s="32">
        <v>2</v>
      </c>
      <c r="G286" s="32">
        <v>1111</v>
      </c>
      <c r="H286" s="32" t="s">
        <v>67</v>
      </c>
      <c r="I286" s="32" t="s">
        <v>25</v>
      </c>
      <c r="J286" s="32" t="s">
        <v>15</v>
      </c>
      <c r="K286" s="34" t="str">
        <f t="shared" si="16"/>
        <v>Bangalore</v>
      </c>
      <c r="L286" t="str">
        <f t="shared" si="19"/>
        <v>Cash</v>
      </c>
      <c r="M286" s="34">
        <f t="shared" si="17"/>
        <v>2222</v>
      </c>
      <c r="N286" s="34">
        <f t="shared" si="18"/>
        <v>11</v>
      </c>
    </row>
    <row r="287" spans="1:14" x14ac:dyDescent="0.3">
      <c r="A287" s="33" t="s">
        <v>298</v>
      </c>
      <c r="B287" s="34" t="s">
        <v>103</v>
      </c>
      <c r="C287" s="38" t="s">
        <v>325</v>
      </c>
      <c r="D287" s="34" t="s">
        <v>28</v>
      </c>
      <c r="E287" s="34" t="s">
        <v>23</v>
      </c>
      <c r="F287" s="34">
        <v>4</v>
      </c>
      <c r="G287" s="34">
        <v>1211</v>
      </c>
      <c r="H287" s="34" t="s">
        <v>17</v>
      </c>
      <c r="I287" s="34" t="s">
        <v>27</v>
      </c>
      <c r="J287" s="34" t="s">
        <v>21</v>
      </c>
      <c r="K287" s="34" t="str">
        <f t="shared" si="16"/>
        <v>Mumbai</v>
      </c>
      <c r="L287" t="str">
        <f t="shared" si="19"/>
        <v>Cash</v>
      </c>
      <c r="M287" s="34">
        <f t="shared" si="17"/>
        <v>4844</v>
      </c>
      <c r="N287" s="34">
        <f t="shared" si="18"/>
        <v>17</v>
      </c>
    </row>
    <row r="288" spans="1:14" x14ac:dyDescent="0.3">
      <c r="A288" s="31" t="s">
        <v>299</v>
      </c>
      <c r="B288" s="32" t="s">
        <v>197</v>
      </c>
      <c r="C288" s="37" t="s">
        <v>321</v>
      </c>
      <c r="D288" s="32" t="s">
        <v>10</v>
      </c>
      <c r="E288" s="32" t="s">
        <v>11</v>
      </c>
      <c r="F288" s="32">
        <v>2</v>
      </c>
      <c r="G288" s="32">
        <v>42111</v>
      </c>
      <c r="H288" s="32" t="s">
        <v>13</v>
      </c>
      <c r="I288" s="32" t="s">
        <v>32</v>
      </c>
      <c r="J288" s="32" t="s">
        <v>15</v>
      </c>
      <c r="K288" s="34" t="str">
        <f t="shared" si="16"/>
        <v>Delhi</v>
      </c>
      <c r="L288" t="str">
        <f t="shared" si="19"/>
        <v>Debit Card</v>
      </c>
      <c r="M288" s="34">
        <f t="shared" si="17"/>
        <v>84222</v>
      </c>
      <c r="N288" s="34">
        <f t="shared" si="18"/>
        <v>19</v>
      </c>
    </row>
    <row r="289" spans="1:14" x14ac:dyDescent="0.3">
      <c r="A289" s="33" t="s">
        <v>300</v>
      </c>
      <c r="B289" s="34" t="s">
        <v>76</v>
      </c>
      <c r="C289" s="38" t="s">
        <v>342</v>
      </c>
      <c r="D289" s="34" t="s">
        <v>10</v>
      </c>
      <c r="E289" s="34" t="s">
        <v>11</v>
      </c>
      <c r="F289" s="34">
        <v>1</v>
      </c>
      <c r="G289" s="34">
        <v>31111</v>
      </c>
      <c r="H289" s="34" t="s">
        <v>19</v>
      </c>
      <c r="I289" s="34" t="s">
        <v>20</v>
      </c>
      <c r="J289" s="34" t="s">
        <v>18</v>
      </c>
      <c r="K289" s="34" t="str">
        <f t="shared" si="16"/>
        <v>Chennai</v>
      </c>
      <c r="L289" t="str">
        <f t="shared" si="19"/>
        <v>Net Banking</v>
      </c>
      <c r="M289" s="34">
        <f t="shared" si="17"/>
        <v>31111</v>
      </c>
      <c r="N289" s="34">
        <f t="shared" si="18"/>
        <v>13</v>
      </c>
    </row>
    <row r="290" spans="1:14" x14ac:dyDescent="0.3">
      <c r="A290" s="31" t="s">
        <v>301</v>
      </c>
      <c r="B290" s="32" t="s">
        <v>288</v>
      </c>
      <c r="C290" s="37" t="s">
        <v>320</v>
      </c>
      <c r="D290" s="32" t="s">
        <v>36</v>
      </c>
      <c r="E290" s="32" t="s">
        <v>23</v>
      </c>
      <c r="F290" s="32">
        <v>2</v>
      </c>
      <c r="G290" s="32">
        <v>2511</v>
      </c>
      <c r="H290" s="32" t="s">
        <v>64</v>
      </c>
      <c r="I290" s="32" t="s">
        <v>20</v>
      </c>
      <c r="J290" s="32" t="s">
        <v>15</v>
      </c>
      <c r="K290" s="34" t="str">
        <f t="shared" si="16"/>
        <v>Jaipur</v>
      </c>
      <c r="L290" t="str">
        <f t="shared" si="19"/>
        <v>UPI</v>
      </c>
      <c r="M290" s="34">
        <f t="shared" si="17"/>
        <v>5022</v>
      </c>
      <c r="N290" s="34">
        <f t="shared" si="18"/>
        <v>11</v>
      </c>
    </row>
    <row r="291" spans="1:14" x14ac:dyDescent="0.3">
      <c r="A291" s="33" t="s">
        <v>302</v>
      </c>
      <c r="B291" s="34" t="s">
        <v>109</v>
      </c>
      <c r="C291" s="38" t="s">
        <v>354</v>
      </c>
      <c r="D291" s="34" t="s">
        <v>16</v>
      </c>
      <c r="E291" s="34" t="s">
        <v>11</v>
      </c>
      <c r="F291" s="34">
        <v>4</v>
      </c>
      <c r="G291" s="34">
        <v>45111</v>
      </c>
      <c r="H291" s="34" t="s">
        <v>17</v>
      </c>
      <c r="I291" s="34" t="s">
        <v>14</v>
      </c>
      <c r="J291" s="34" t="s">
        <v>15</v>
      </c>
      <c r="K291" s="34" t="str">
        <f t="shared" si="16"/>
        <v>Mumbai</v>
      </c>
      <c r="L291" t="str">
        <f t="shared" si="19"/>
        <v>UPI</v>
      </c>
      <c r="M291" s="34">
        <f t="shared" si="17"/>
        <v>180444</v>
      </c>
      <c r="N291" s="34">
        <f t="shared" si="18"/>
        <v>27</v>
      </c>
    </row>
    <row r="292" spans="1:14" x14ac:dyDescent="0.3">
      <c r="A292" s="31" t="s">
        <v>302</v>
      </c>
      <c r="B292" s="32" t="s">
        <v>113</v>
      </c>
      <c r="C292" s="37" t="s">
        <v>444</v>
      </c>
      <c r="D292" s="32" t="s">
        <v>28</v>
      </c>
      <c r="E292" s="32" t="s">
        <v>23</v>
      </c>
      <c r="F292" s="32">
        <v>3</v>
      </c>
      <c r="G292" s="32">
        <v>1811</v>
      </c>
      <c r="H292" s="32" t="s">
        <v>13</v>
      </c>
      <c r="I292" s="32" t="s">
        <v>27</v>
      </c>
      <c r="J292" s="32" t="s">
        <v>15</v>
      </c>
      <c r="K292" s="34" t="str">
        <f t="shared" si="16"/>
        <v>Delhi</v>
      </c>
      <c r="L292" t="str">
        <f t="shared" si="19"/>
        <v>Credit Card</v>
      </c>
      <c r="M292" s="34">
        <f t="shared" si="17"/>
        <v>5433</v>
      </c>
      <c r="N292" s="34">
        <f t="shared" si="18"/>
        <v>29</v>
      </c>
    </row>
    <row r="293" spans="1:14" x14ac:dyDescent="0.3">
      <c r="A293" s="33" t="s">
        <v>303</v>
      </c>
      <c r="B293" s="34" t="s">
        <v>131</v>
      </c>
      <c r="C293" s="38" t="s">
        <v>368</v>
      </c>
      <c r="D293" s="34" t="s">
        <v>28</v>
      </c>
      <c r="E293" s="34" t="s">
        <v>23</v>
      </c>
      <c r="F293" s="34">
        <v>4</v>
      </c>
      <c r="G293" s="34">
        <v>1811</v>
      </c>
      <c r="H293" s="34" t="s">
        <v>67</v>
      </c>
      <c r="I293" s="34" t="s">
        <v>27</v>
      </c>
      <c r="J293" s="34" t="s">
        <v>18</v>
      </c>
      <c r="K293" s="34" t="str">
        <f t="shared" si="16"/>
        <v>Bangalore</v>
      </c>
      <c r="L293" t="str">
        <f t="shared" si="19"/>
        <v>Debit Card</v>
      </c>
      <c r="M293" s="34">
        <f t="shared" si="17"/>
        <v>7244</v>
      </c>
      <c r="N293" s="34">
        <f t="shared" si="18"/>
        <v>14</v>
      </c>
    </row>
    <row r="294" spans="1:14" x14ac:dyDescent="0.3">
      <c r="A294" s="31" t="s">
        <v>304</v>
      </c>
      <c r="B294" s="32" t="s">
        <v>82</v>
      </c>
      <c r="C294" s="37" t="s">
        <v>432</v>
      </c>
      <c r="D294" s="32" t="s">
        <v>30</v>
      </c>
      <c r="E294" s="32" t="s">
        <v>31</v>
      </c>
      <c r="F294" s="32">
        <v>3</v>
      </c>
      <c r="G294" s="32">
        <v>6511</v>
      </c>
      <c r="H294" s="32" t="s">
        <v>19</v>
      </c>
      <c r="I294" s="32" t="s">
        <v>27</v>
      </c>
      <c r="J294" s="32" t="s">
        <v>18</v>
      </c>
      <c r="K294" s="34" t="str">
        <f t="shared" si="16"/>
        <v>Chennai</v>
      </c>
      <c r="L294" t="str">
        <f t="shared" si="19"/>
        <v>Debit Card</v>
      </c>
      <c r="M294" s="34">
        <f t="shared" si="17"/>
        <v>19533</v>
      </c>
      <c r="N294" s="34">
        <f t="shared" si="18"/>
        <v>17</v>
      </c>
    </row>
    <row r="295" spans="1:14" x14ac:dyDescent="0.3">
      <c r="A295" s="33" t="s">
        <v>305</v>
      </c>
      <c r="B295" s="34" t="s">
        <v>111</v>
      </c>
      <c r="C295" s="38" t="s">
        <v>354</v>
      </c>
      <c r="D295" s="34" t="s">
        <v>36</v>
      </c>
      <c r="E295" s="34" t="s">
        <v>23</v>
      </c>
      <c r="F295" s="34" t="s">
        <v>65</v>
      </c>
      <c r="G295" s="34">
        <v>3511</v>
      </c>
      <c r="H295" s="34" t="s">
        <v>13</v>
      </c>
      <c r="I295" s="34" t="s">
        <v>27</v>
      </c>
      <c r="J295" s="34" t="s">
        <v>65</v>
      </c>
      <c r="K295" s="34" t="str">
        <f t="shared" si="16"/>
        <v>Delhi</v>
      </c>
      <c r="L295" t="str">
        <f t="shared" si="19"/>
        <v>Debit Card</v>
      </c>
      <c r="M295" s="34">
        <f t="shared" si="17"/>
        <v>0</v>
      </c>
      <c r="N295" s="34">
        <f t="shared" si="18"/>
        <v>27</v>
      </c>
    </row>
    <row r="296" spans="1:14" x14ac:dyDescent="0.3">
      <c r="A296" s="31" t="s">
        <v>306</v>
      </c>
      <c r="B296" s="32" t="s">
        <v>123</v>
      </c>
      <c r="C296" s="37" t="s">
        <v>321</v>
      </c>
      <c r="D296" s="32" t="s">
        <v>28</v>
      </c>
      <c r="E296" s="32" t="s">
        <v>23</v>
      </c>
      <c r="F296" s="32">
        <v>3</v>
      </c>
      <c r="G296" s="32">
        <v>1811</v>
      </c>
      <c r="H296" s="32" t="s">
        <v>24</v>
      </c>
      <c r="I296" s="32" t="s">
        <v>32</v>
      </c>
      <c r="J296" s="32" t="s">
        <v>21</v>
      </c>
      <c r="K296" s="34" t="str">
        <f t="shared" si="16"/>
        <v>Pune</v>
      </c>
      <c r="L296" t="str">
        <f t="shared" si="19"/>
        <v>Debit Card</v>
      </c>
      <c r="M296" s="34">
        <f t="shared" si="17"/>
        <v>5433</v>
      </c>
      <c r="N296" s="34">
        <f t="shared" si="18"/>
        <v>19</v>
      </c>
    </row>
    <row r="297" spans="1:14" x14ac:dyDescent="0.3">
      <c r="A297" s="33" t="s">
        <v>307</v>
      </c>
      <c r="B297" s="34" t="s">
        <v>109</v>
      </c>
      <c r="C297" s="38" t="s">
        <v>319</v>
      </c>
      <c r="D297" s="34" t="s">
        <v>30</v>
      </c>
      <c r="E297" s="34" t="s">
        <v>31</v>
      </c>
      <c r="F297" s="34">
        <v>2</v>
      </c>
      <c r="G297" s="34">
        <v>9111</v>
      </c>
      <c r="H297" s="34" t="s">
        <v>13</v>
      </c>
      <c r="I297" s="34" t="s">
        <v>25</v>
      </c>
      <c r="J297" s="34" t="s">
        <v>18</v>
      </c>
      <c r="K297" s="34" t="str">
        <f t="shared" si="16"/>
        <v>Delhi</v>
      </c>
      <c r="L297" t="str">
        <f t="shared" si="19"/>
        <v>Net Banking</v>
      </c>
      <c r="M297" s="34">
        <f t="shared" si="17"/>
        <v>18222</v>
      </c>
      <c r="N297" s="34">
        <f t="shared" si="18"/>
        <v>14</v>
      </c>
    </row>
    <row r="298" spans="1:14" x14ac:dyDescent="0.3">
      <c r="A298" s="31" t="s">
        <v>308</v>
      </c>
      <c r="B298" s="32" t="s">
        <v>82</v>
      </c>
      <c r="C298" s="37" t="s">
        <v>358</v>
      </c>
      <c r="D298" s="32" t="s">
        <v>16</v>
      </c>
      <c r="E298" s="32" t="s">
        <v>11</v>
      </c>
      <c r="F298" s="32">
        <v>2</v>
      </c>
      <c r="G298" s="32">
        <v>52111</v>
      </c>
      <c r="H298" s="32" t="s">
        <v>35</v>
      </c>
      <c r="I298" s="32" t="s">
        <v>14</v>
      </c>
      <c r="J298" s="32" t="s">
        <v>15</v>
      </c>
      <c r="K298" s="34" t="str">
        <f t="shared" si="16"/>
        <v>Hyderabad</v>
      </c>
      <c r="L298" t="str">
        <f t="shared" si="19"/>
        <v>Cash</v>
      </c>
      <c r="M298" s="34">
        <f t="shared" si="17"/>
        <v>104222</v>
      </c>
      <c r="N298" s="34">
        <f t="shared" si="18"/>
        <v>21</v>
      </c>
    </row>
    <row r="299" spans="1:14" x14ac:dyDescent="0.3">
      <c r="A299" s="33" t="s">
        <v>309</v>
      </c>
      <c r="B299" s="34" t="s">
        <v>74</v>
      </c>
      <c r="C299" s="38" t="s">
        <v>416</v>
      </c>
      <c r="D299" s="34" t="s">
        <v>22</v>
      </c>
      <c r="E299" s="34" t="s">
        <v>23</v>
      </c>
      <c r="F299" s="34">
        <v>3</v>
      </c>
      <c r="G299" s="34">
        <v>711</v>
      </c>
      <c r="H299" s="34" t="s">
        <v>29</v>
      </c>
      <c r="I299" s="34" t="s">
        <v>20</v>
      </c>
      <c r="J299" s="34" t="s">
        <v>21</v>
      </c>
      <c r="K299" s="34" t="str">
        <f t="shared" si="16"/>
        <v>Kolkata</v>
      </c>
      <c r="L299" t="str">
        <f t="shared" si="19"/>
        <v>Credit Card</v>
      </c>
      <c r="M299" s="34">
        <f t="shared" si="17"/>
        <v>2133</v>
      </c>
      <c r="N299" s="34">
        <f t="shared" si="18"/>
        <v>24</v>
      </c>
    </row>
    <row r="300" spans="1:14" x14ac:dyDescent="0.3">
      <c r="A300" s="31" t="s">
        <v>310</v>
      </c>
      <c r="B300" s="32" t="s">
        <v>207</v>
      </c>
      <c r="C300" s="37" t="s">
        <v>445</v>
      </c>
      <c r="D300" s="32" t="s">
        <v>22</v>
      </c>
      <c r="E300" s="32" t="s">
        <v>23</v>
      </c>
      <c r="F300" s="32">
        <v>3</v>
      </c>
      <c r="G300" s="32">
        <v>1111</v>
      </c>
      <c r="H300" s="32" t="s">
        <v>19</v>
      </c>
      <c r="I300" s="32" t="s">
        <v>38</v>
      </c>
      <c r="J300" s="32" t="s">
        <v>18</v>
      </c>
      <c r="K300" s="34" t="str">
        <f t="shared" si="16"/>
        <v>Chennai</v>
      </c>
      <c r="L300" t="str">
        <f t="shared" si="19"/>
        <v>UPI</v>
      </c>
      <c r="M300" s="34">
        <f t="shared" si="17"/>
        <v>3333</v>
      </c>
      <c r="N300" s="34">
        <f t="shared" si="18"/>
        <v>25</v>
      </c>
    </row>
    <row r="301" spans="1:14" x14ac:dyDescent="0.3">
      <c r="A301" s="35" t="s">
        <v>311</v>
      </c>
      <c r="B301" s="36" t="s">
        <v>215</v>
      </c>
      <c r="C301" s="42" t="s">
        <v>446</v>
      </c>
      <c r="D301" s="36" t="s">
        <v>30</v>
      </c>
      <c r="E301" s="36" t="s">
        <v>31</v>
      </c>
      <c r="F301" s="36">
        <v>4</v>
      </c>
      <c r="G301" s="36">
        <v>4111</v>
      </c>
      <c r="H301" s="36" t="s">
        <v>17</v>
      </c>
      <c r="I301" s="36" t="s">
        <v>27</v>
      </c>
      <c r="J301" s="36" t="s">
        <v>21</v>
      </c>
      <c r="K301" s="36" t="str">
        <f t="shared" si="16"/>
        <v>Mumbai</v>
      </c>
      <c r="L301" t="str">
        <f t="shared" si="19"/>
        <v>Credit Card</v>
      </c>
      <c r="M301" s="36">
        <f t="shared" si="17"/>
        <v>16444</v>
      </c>
      <c r="N301" s="36">
        <f t="shared" si="18"/>
        <v>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vt:lpstr>
      <vt:lpstr>cleaning summary</vt:lpstr>
      <vt:lpstr>Learning Guide</vt:lpstr>
      <vt:lpstr>EDA analysis</vt:lpstr>
      <vt:lpstr>calc</vt:lpstr>
      <vt:lpstr>dashboard</vt:lpstr>
      <vt:lpstr>Sheet1</vt:lpstr>
      <vt:lpstr>Sheet2</vt:lpstr>
      <vt:lpstr>Sheet3</vt:lpstr>
      <vt:lpstr>Sheet4</vt:lpstr>
      <vt:lpstr>Sheet5</vt:lpstr>
      <vt:lpstr>Sheet6</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Fejaan Rathore</cp:lastModifiedBy>
  <dcterms:created xsi:type="dcterms:W3CDTF">2026-09-15T09:20:45Z</dcterms:created>
  <dcterms:modified xsi:type="dcterms:W3CDTF">2026-10-03T10:29:56Z</dcterms:modified>
</cp:coreProperties>
</file>