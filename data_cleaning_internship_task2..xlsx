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d962a72b0b24608/Desktop/"/>
    </mc:Choice>
  </mc:AlternateContent>
  <xr:revisionPtr revIDLastSave="0" documentId="8_{AC627D29-D56E-4305-845A-48EAE69BEE15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Raw Data" sheetId="1" r:id="rId1"/>
    <sheet name="cleaning summary" sheetId="3" r:id="rId2"/>
    <sheet name="Learning Guide" sheetId="2" r:id="rId3"/>
    <sheet name="EDA analysi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6" l="1" a="1"/>
  <c r="C6" i="6"/>
  <c r="C7" i="6"/>
  <c r="C8" i="6"/>
  <c r="C9" i="6"/>
  <c r="C10" i="6"/>
  <c r="C11" i="6"/>
  <c r="C102" i="6"/>
  <c r="C101" i="6"/>
  <c r="C100" i="6"/>
  <c r="C99" i="6" a="1"/>
  <c r="C98" i="6" a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2" i="1"/>
  <c r="M302" i="1"/>
  <c r="M303" i="1"/>
  <c r="C63" i="6" a="1"/>
  <c r="C62" i="6" a="1"/>
  <c r="C49" i="6" a="1"/>
  <c r="C42" i="6"/>
  <c r="C41" i="6"/>
  <c r="C40" i="6"/>
  <c r="C39" i="6"/>
  <c r="C32" i="6"/>
  <c r="C19" i="6" a="1"/>
  <c r="C18" i="6" a="1"/>
  <c r="C17" i="6" a="1"/>
  <c r="L30" i="1"/>
  <c r="L2" i="1"/>
  <c r="C5" i="6"/>
  <c r="L3" i="1"/>
  <c r="L4" i="1"/>
  <c r="C52" i="6" s="1" a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J302" i="1"/>
  <c r="J303" i="1"/>
  <c r="J301" i="1"/>
  <c r="J300" i="1"/>
  <c r="J290" i="1"/>
  <c r="J280" i="1"/>
  <c r="J270" i="1"/>
  <c r="J260" i="1"/>
  <c r="J250" i="1"/>
  <c r="J240" i="1"/>
  <c r="J230" i="1"/>
  <c r="J220" i="1"/>
  <c r="J210" i="1"/>
  <c r="J209" i="1"/>
  <c r="J208" i="1"/>
  <c r="J207" i="1"/>
  <c r="J206" i="1"/>
  <c r="J205" i="1"/>
  <c r="J204" i="1"/>
  <c r="J203" i="1"/>
  <c r="J202" i="1"/>
  <c r="J201" i="1"/>
  <c r="J200" i="1"/>
  <c r="J190" i="1"/>
  <c r="J180" i="1"/>
  <c r="J170" i="1"/>
  <c r="J160" i="1"/>
  <c r="J150" i="1"/>
  <c r="J140" i="1"/>
  <c r="J130" i="1"/>
  <c r="J120" i="1"/>
  <c r="J110" i="1"/>
  <c r="J109" i="1"/>
  <c r="J108" i="1"/>
  <c r="J107" i="1"/>
  <c r="J106" i="1"/>
  <c r="J105" i="1"/>
  <c r="J104" i="1"/>
  <c r="J103" i="1"/>
  <c r="J102" i="1"/>
  <c r="J101" i="1"/>
  <c r="J100" i="1"/>
  <c r="J90" i="1"/>
  <c r="J80" i="1"/>
  <c r="J70" i="1"/>
  <c r="J60" i="1"/>
  <c r="J50" i="1"/>
  <c r="J40" i="1"/>
  <c r="J30" i="1"/>
  <c r="J20" i="1"/>
  <c r="J10" i="1"/>
  <c r="J2" i="1"/>
  <c r="J3" i="1"/>
  <c r="J4" i="1"/>
  <c r="J5" i="1"/>
  <c r="J6" i="1"/>
  <c r="J7" i="1"/>
  <c r="J8" i="1"/>
  <c r="J9" i="1"/>
  <c r="J11" i="1"/>
  <c r="J12" i="1"/>
  <c r="J13" i="1"/>
  <c r="J14" i="1"/>
  <c r="J15" i="1"/>
  <c r="J16" i="1"/>
  <c r="J17" i="1"/>
  <c r="J18" i="1"/>
  <c r="J19" i="1"/>
  <c r="J21" i="1"/>
  <c r="J22" i="1"/>
  <c r="J23" i="1"/>
  <c r="J24" i="1"/>
  <c r="J25" i="1"/>
  <c r="J26" i="1"/>
  <c r="J27" i="1"/>
  <c r="J28" i="1"/>
  <c r="J29" i="1"/>
  <c r="J31" i="1"/>
  <c r="J32" i="1"/>
  <c r="J33" i="1"/>
  <c r="J34" i="1"/>
  <c r="J35" i="1"/>
  <c r="J36" i="1"/>
  <c r="J37" i="1"/>
  <c r="J38" i="1"/>
  <c r="J39" i="1"/>
  <c r="J41" i="1"/>
  <c r="J42" i="1"/>
  <c r="J43" i="1"/>
  <c r="J44" i="1"/>
  <c r="J45" i="1"/>
  <c r="J46" i="1"/>
  <c r="J47" i="1"/>
  <c r="J48" i="1"/>
  <c r="J49" i="1"/>
  <c r="J51" i="1"/>
  <c r="J52" i="1"/>
  <c r="J53" i="1"/>
  <c r="J54" i="1"/>
  <c r="J55" i="1"/>
  <c r="J56" i="1"/>
  <c r="J57" i="1"/>
  <c r="J58" i="1"/>
  <c r="J59" i="1"/>
  <c r="J61" i="1"/>
  <c r="J62" i="1"/>
  <c r="J63" i="1"/>
  <c r="J64" i="1"/>
  <c r="J65" i="1"/>
  <c r="J66" i="1"/>
  <c r="J67" i="1"/>
  <c r="J68" i="1"/>
  <c r="J69" i="1"/>
  <c r="J71" i="1"/>
  <c r="J72" i="1"/>
  <c r="J73" i="1"/>
  <c r="J74" i="1"/>
  <c r="J75" i="1"/>
  <c r="J76" i="1"/>
  <c r="J77" i="1"/>
  <c r="J78" i="1"/>
  <c r="J79" i="1"/>
  <c r="J81" i="1"/>
  <c r="J82" i="1"/>
  <c r="J83" i="1"/>
  <c r="J84" i="1"/>
  <c r="J85" i="1"/>
  <c r="J86" i="1"/>
  <c r="J87" i="1"/>
  <c r="J88" i="1"/>
  <c r="J89" i="1"/>
  <c r="J91" i="1"/>
  <c r="J92" i="1"/>
  <c r="J93" i="1"/>
  <c r="J94" i="1"/>
  <c r="J95" i="1"/>
  <c r="J96" i="1"/>
  <c r="J97" i="1"/>
  <c r="J98" i="1"/>
  <c r="J99" i="1"/>
  <c r="J111" i="1"/>
  <c r="J112" i="1"/>
  <c r="J113" i="1"/>
  <c r="J114" i="1"/>
  <c r="J115" i="1"/>
  <c r="J116" i="1"/>
  <c r="J117" i="1"/>
  <c r="J118" i="1"/>
  <c r="J119" i="1"/>
  <c r="J121" i="1"/>
  <c r="J122" i="1"/>
  <c r="J123" i="1"/>
  <c r="J124" i="1"/>
  <c r="J125" i="1"/>
  <c r="J126" i="1"/>
  <c r="J127" i="1"/>
  <c r="J128" i="1"/>
  <c r="J129" i="1"/>
  <c r="J131" i="1"/>
  <c r="J132" i="1"/>
  <c r="J133" i="1"/>
  <c r="J134" i="1"/>
  <c r="J135" i="1"/>
  <c r="J136" i="1"/>
  <c r="J137" i="1"/>
  <c r="J138" i="1"/>
  <c r="J139" i="1"/>
  <c r="J141" i="1"/>
  <c r="J142" i="1"/>
  <c r="J143" i="1"/>
  <c r="J144" i="1"/>
  <c r="J145" i="1"/>
  <c r="J146" i="1"/>
  <c r="J147" i="1"/>
  <c r="J148" i="1"/>
  <c r="J149" i="1"/>
  <c r="J151" i="1"/>
  <c r="J152" i="1"/>
  <c r="J153" i="1"/>
  <c r="J154" i="1"/>
  <c r="J155" i="1"/>
  <c r="J156" i="1"/>
  <c r="J157" i="1"/>
  <c r="J158" i="1"/>
  <c r="J159" i="1"/>
  <c r="J161" i="1"/>
  <c r="J162" i="1"/>
  <c r="J163" i="1"/>
  <c r="J164" i="1"/>
  <c r="J165" i="1"/>
  <c r="J166" i="1"/>
  <c r="J167" i="1"/>
  <c r="J168" i="1"/>
  <c r="J169" i="1"/>
  <c r="J171" i="1"/>
  <c r="J172" i="1"/>
  <c r="J173" i="1"/>
  <c r="J174" i="1"/>
  <c r="J175" i="1"/>
  <c r="J176" i="1"/>
  <c r="J177" i="1"/>
  <c r="J178" i="1"/>
  <c r="J179" i="1"/>
  <c r="J181" i="1"/>
  <c r="J182" i="1"/>
  <c r="J183" i="1"/>
  <c r="J184" i="1"/>
  <c r="J185" i="1"/>
  <c r="J186" i="1"/>
  <c r="J187" i="1"/>
  <c r="J188" i="1"/>
  <c r="J189" i="1"/>
  <c r="J191" i="1"/>
  <c r="J192" i="1"/>
  <c r="J193" i="1"/>
  <c r="J194" i="1"/>
  <c r="J195" i="1"/>
  <c r="J196" i="1"/>
  <c r="J197" i="1"/>
  <c r="J198" i="1"/>
  <c r="J199" i="1"/>
  <c r="J211" i="1"/>
  <c r="J212" i="1"/>
  <c r="J213" i="1"/>
  <c r="J214" i="1"/>
  <c r="J215" i="1"/>
  <c r="J216" i="1"/>
  <c r="J217" i="1"/>
  <c r="J218" i="1"/>
  <c r="J219" i="1"/>
  <c r="J221" i="1"/>
  <c r="J222" i="1"/>
  <c r="J223" i="1"/>
  <c r="J224" i="1"/>
  <c r="J225" i="1"/>
  <c r="J226" i="1"/>
  <c r="J227" i="1"/>
  <c r="J228" i="1"/>
  <c r="J229" i="1"/>
  <c r="J231" i="1"/>
  <c r="J232" i="1"/>
  <c r="J233" i="1"/>
  <c r="J234" i="1"/>
  <c r="J235" i="1"/>
  <c r="J236" i="1"/>
  <c r="J237" i="1"/>
  <c r="J238" i="1"/>
  <c r="J239" i="1"/>
  <c r="J241" i="1"/>
  <c r="J242" i="1"/>
  <c r="J243" i="1"/>
  <c r="J244" i="1"/>
  <c r="J245" i="1"/>
  <c r="J246" i="1"/>
  <c r="J247" i="1"/>
  <c r="J248" i="1"/>
  <c r="J249" i="1"/>
  <c r="J251" i="1"/>
  <c r="J252" i="1"/>
  <c r="J253" i="1"/>
  <c r="J254" i="1"/>
  <c r="J255" i="1"/>
  <c r="J256" i="1"/>
  <c r="J257" i="1"/>
  <c r="J258" i="1"/>
  <c r="J259" i="1"/>
  <c r="J261" i="1"/>
  <c r="J262" i="1"/>
  <c r="J263" i="1"/>
  <c r="J264" i="1"/>
  <c r="J265" i="1"/>
  <c r="J266" i="1"/>
  <c r="J267" i="1"/>
  <c r="J268" i="1"/>
  <c r="J269" i="1"/>
  <c r="J271" i="1"/>
  <c r="J272" i="1"/>
  <c r="J273" i="1"/>
  <c r="J274" i="1"/>
  <c r="J275" i="1"/>
  <c r="J276" i="1"/>
  <c r="J277" i="1"/>
  <c r="J278" i="1"/>
  <c r="J279" i="1"/>
  <c r="J281" i="1"/>
  <c r="J282" i="1"/>
  <c r="J283" i="1"/>
  <c r="J284" i="1"/>
  <c r="J285" i="1"/>
  <c r="J286" i="1"/>
  <c r="J287" i="1"/>
  <c r="J288" i="1"/>
  <c r="J289" i="1"/>
  <c r="J291" i="1"/>
  <c r="J292" i="1"/>
  <c r="J293" i="1"/>
  <c r="J294" i="1"/>
  <c r="J295" i="1"/>
  <c r="J296" i="1"/>
  <c r="J297" i="1"/>
  <c r="J298" i="1"/>
  <c r="J299" i="1"/>
  <c r="C50" i="6" l="1" a="1"/>
  <c r="C26" i="6"/>
  <c r="C53" i="6" a="1"/>
  <c r="C28" i="6"/>
  <c r="C54" i="6" a="1"/>
  <c r="C29" i="6"/>
  <c r="C55" i="6" a="1"/>
  <c r="C30" i="6"/>
  <c r="C56" i="6" a="1"/>
  <c r="C31" i="6"/>
  <c r="C27" i="6"/>
  <c r="C33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<sst xmlns="http://schemas.openxmlformats.org/spreadsheetml/2006/main" count="2606" uniqueCount="583">
  <si>
    <t>Order_ID</t>
  </si>
  <si>
    <t>Customer_ID</t>
  </si>
  <si>
    <t>Order_Date</t>
  </si>
  <si>
    <t>Product</t>
  </si>
  <si>
    <t>Category</t>
  </si>
  <si>
    <t>Quantity</t>
  </si>
  <si>
    <t>Unit_Price</t>
  </si>
  <si>
    <t>City</t>
  </si>
  <si>
    <t>Payment_Method</t>
  </si>
  <si>
    <t>Order_Status</t>
  </si>
  <si>
    <t>Smartphone</t>
  </si>
  <si>
    <t>Electronics</t>
  </si>
  <si>
    <t>1</t>
  </si>
  <si>
    <t>Delhi</t>
  </si>
  <si>
    <t>Credit Card</t>
  </si>
  <si>
    <t>Completed</t>
  </si>
  <si>
    <t>Laptop</t>
  </si>
  <si>
    <t>Mumbai</t>
  </si>
  <si>
    <t>Pending</t>
  </si>
  <si>
    <t>Chennai</t>
  </si>
  <si>
    <t>UPI</t>
  </si>
  <si>
    <t>Cancelled</t>
  </si>
  <si>
    <t>Mouse</t>
  </si>
  <si>
    <t>Accessories</t>
  </si>
  <si>
    <t>Pune</t>
  </si>
  <si>
    <t>Cash</t>
  </si>
  <si>
    <t>Monitor</t>
  </si>
  <si>
    <t>Debit Card</t>
  </si>
  <si>
    <t>Keyboard</t>
  </si>
  <si>
    <t>Kolkata</t>
  </si>
  <si>
    <t>Smartwatch</t>
  </si>
  <si>
    <t>Wearables</t>
  </si>
  <si>
    <t>Net Banking</t>
  </si>
  <si>
    <t xml:space="preserve"> Laptop</t>
  </si>
  <si>
    <t>Tablet</t>
  </si>
  <si>
    <t>Hyderabad</t>
  </si>
  <si>
    <t>Headphones</t>
  </si>
  <si>
    <t>Jaipur</t>
  </si>
  <si>
    <t>Credit card</t>
  </si>
  <si>
    <t xml:space="preserve">UPI </t>
  </si>
  <si>
    <t>4</t>
  </si>
  <si>
    <t>3</t>
  </si>
  <si>
    <t>Step</t>
  </si>
  <si>
    <t>What to learn</t>
  </si>
  <si>
    <t>1. Inspect the dataset</t>
  </si>
  <si>
    <t>Understand rows, columns, fields and data types</t>
  </si>
  <si>
    <t>2. Find missing values</t>
  </si>
  <si>
    <t>Use filters and blanks to identify missing data</t>
  </si>
  <si>
    <t>3. Find duplicate records</t>
  </si>
  <si>
    <t>Use Remove Duplicates</t>
  </si>
  <si>
    <t>4. Standardize inconsistent text</t>
  </si>
  <si>
    <t>Use TRIM, Find/Replace and consistent labels</t>
  </si>
  <si>
    <t>5. Fix date format</t>
  </si>
  <si>
    <t>Convert dates into one format</t>
  </si>
  <si>
    <t>6. Fix numeric values/data types</t>
  </si>
  <si>
    <t>Convert Quantity and Unit_Price to numbers</t>
  </si>
  <si>
    <t>7. Check incorrect values</t>
  </si>
  <si>
    <t>Use sorting/filtering to spot impossible values</t>
  </si>
  <si>
    <t>8. Create a Total_Sales column</t>
  </si>
  <si>
    <t>Quantity × Unit_Price</t>
  </si>
  <si>
    <t>9. Create a cleaning summary</t>
  </si>
  <si>
    <t>Document what you changed</t>
  </si>
  <si>
    <t>10. Save the cleaned dataset</t>
  </si>
  <si>
    <t>Keep raw and cleaned versions separate</t>
  </si>
  <si>
    <t xml:space="preserve"> Jaipur</t>
  </si>
  <si>
    <t>unknown</t>
  </si>
  <si>
    <t xml:space="preserve"> Mumbai</t>
  </si>
  <si>
    <t>Bangalore</t>
  </si>
  <si>
    <t>Clean_Payment</t>
  </si>
  <si>
    <t>ORD1111</t>
  </si>
  <si>
    <t>CUST1114</t>
  </si>
  <si>
    <t>ORD1112</t>
  </si>
  <si>
    <t>CUST1136</t>
  </si>
  <si>
    <t>ORD1113</t>
  </si>
  <si>
    <t>CUST1116</t>
  </si>
  <si>
    <t>ORD1114</t>
  </si>
  <si>
    <t>CUST1149</t>
  </si>
  <si>
    <t>ORD1115</t>
  </si>
  <si>
    <t>CUST1161</t>
  </si>
  <si>
    <t>ORD1116</t>
  </si>
  <si>
    <t>CUST1192</t>
  </si>
  <si>
    <t>ORD1117</t>
  </si>
  <si>
    <t>CUST1129</t>
  </si>
  <si>
    <t>ORD1118</t>
  </si>
  <si>
    <t>ORD1119</t>
  </si>
  <si>
    <t>CUST1198</t>
  </si>
  <si>
    <t>CUST1115</t>
  </si>
  <si>
    <t>CUST1122</t>
  </si>
  <si>
    <t>CUST1132</t>
  </si>
  <si>
    <t>CUST1143</t>
  </si>
  <si>
    <t>CUST1185</t>
  </si>
  <si>
    <t>CUST1125</t>
  </si>
  <si>
    <t>CUST1197</t>
  </si>
  <si>
    <t>CUST1137</t>
  </si>
  <si>
    <t>CUST1175</t>
  </si>
  <si>
    <t>ORD1121</t>
  </si>
  <si>
    <t>CUST1141</t>
  </si>
  <si>
    <t>CUST1157</t>
  </si>
  <si>
    <t>ORD1122</t>
  </si>
  <si>
    <t>CUST1127</t>
  </si>
  <si>
    <t>ORD1123</t>
  </si>
  <si>
    <t>CUST1199</t>
  </si>
  <si>
    <t>ORD1124</t>
  </si>
  <si>
    <t>CUST1117</t>
  </si>
  <si>
    <t>ORD1125</t>
  </si>
  <si>
    <t>CUST1123</t>
  </si>
  <si>
    <t>ORD1126</t>
  </si>
  <si>
    <t>CUST1126</t>
  </si>
  <si>
    <t>ORD1127</t>
  </si>
  <si>
    <t>CUST1166</t>
  </si>
  <si>
    <t>ORD1128</t>
  </si>
  <si>
    <t>CUST1178</t>
  </si>
  <si>
    <t>ORD1129</t>
  </si>
  <si>
    <t>CUST1186</t>
  </si>
  <si>
    <t>ORD1131</t>
  </si>
  <si>
    <t>CUST1187</t>
  </si>
  <si>
    <t>ORD1132</t>
  </si>
  <si>
    <t>ORD1133</t>
  </si>
  <si>
    <t>CUST1111</t>
  </si>
  <si>
    <t>ORD1134</t>
  </si>
  <si>
    <t>CUST1158</t>
  </si>
  <si>
    <t>ORD1135</t>
  </si>
  <si>
    <t>ORD1136</t>
  </si>
  <si>
    <t>CUST1171</t>
  </si>
  <si>
    <t>ORD1137</t>
  </si>
  <si>
    <t>CUST1169</t>
  </si>
  <si>
    <t>ORD1138</t>
  </si>
  <si>
    <t>CUST1181</t>
  </si>
  <si>
    <t>ORD1139</t>
  </si>
  <si>
    <t>CUST1159</t>
  </si>
  <si>
    <t>ORD1141</t>
  </si>
  <si>
    <t>CUST1119</t>
  </si>
  <si>
    <t>CUST1133</t>
  </si>
  <si>
    <t>ORD1142</t>
  </si>
  <si>
    <t>CUST1176</t>
  </si>
  <si>
    <t>ORD1143</t>
  </si>
  <si>
    <t>CUST1163</t>
  </si>
  <si>
    <t>ORD1144</t>
  </si>
  <si>
    <t>CUST1135</t>
  </si>
  <si>
    <t>ORD1145</t>
  </si>
  <si>
    <t>CUST1128</t>
  </si>
  <si>
    <t>ORD1146</t>
  </si>
  <si>
    <t>ORD1147</t>
  </si>
  <si>
    <t>CUST1196</t>
  </si>
  <si>
    <t>ORD1148</t>
  </si>
  <si>
    <t>ORD1149</t>
  </si>
  <si>
    <t>CUST1191</t>
  </si>
  <si>
    <t>ORD1151</t>
  </si>
  <si>
    <t>CUST1144</t>
  </si>
  <si>
    <t>CUST1139</t>
  </si>
  <si>
    <t>ORD1152</t>
  </si>
  <si>
    <t>CUST1195</t>
  </si>
  <si>
    <t>ORD1153</t>
  </si>
  <si>
    <t>ORD1154</t>
  </si>
  <si>
    <t>ORD1155</t>
  </si>
  <si>
    <t>CUST1189</t>
  </si>
  <si>
    <t>ORD1156</t>
  </si>
  <si>
    <t>ORD1157</t>
  </si>
  <si>
    <t>CUST1145</t>
  </si>
  <si>
    <t>ORD1158</t>
  </si>
  <si>
    <t>ORD1159</t>
  </si>
  <si>
    <t>ORD1161</t>
  </si>
  <si>
    <t>CUST1112</t>
  </si>
  <si>
    <t>ORD1162</t>
  </si>
  <si>
    <t>ORD1163</t>
  </si>
  <si>
    <t>ORD1164</t>
  </si>
  <si>
    <t>CUST1168</t>
  </si>
  <si>
    <t>ORD1165</t>
  </si>
  <si>
    <t>ORD1166</t>
  </si>
  <si>
    <t>ORD1167</t>
  </si>
  <si>
    <t>ORD1168</t>
  </si>
  <si>
    <t>ORD1169</t>
  </si>
  <si>
    <t>ORD1171</t>
  </si>
  <si>
    <t>CUST1173</t>
  </si>
  <si>
    <t>CUST1183</t>
  </si>
  <si>
    <t>ORD1172</t>
  </si>
  <si>
    <t>ORD1173</t>
  </si>
  <si>
    <t>ORD1174</t>
  </si>
  <si>
    <t>ORD1175</t>
  </si>
  <si>
    <t>CUST1118</t>
  </si>
  <si>
    <t>ORD1176</t>
  </si>
  <si>
    <t>CUST1184</t>
  </si>
  <si>
    <t>ORD1177</t>
  </si>
  <si>
    <t>CUST1148</t>
  </si>
  <si>
    <t>ORD1178</t>
  </si>
  <si>
    <t>ORD1179</t>
  </si>
  <si>
    <t>ORD1181</t>
  </si>
  <si>
    <t>ORD1182</t>
  </si>
  <si>
    <t>ORD1183</t>
  </si>
  <si>
    <t>CUST1153</t>
  </si>
  <si>
    <t>ORD1184</t>
  </si>
  <si>
    <t>ORD1185</t>
  </si>
  <si>
    <t>ORD1186</t>
  </si>
  <si>
    <t>ORD1187</t>
  </si>
  <si>
    <t>ORD1188</t>
  </si>
  <si>
    <t>ORD1189</t>
  </si>
  <si>
    <t>ORD1191</t>
  </si>
  <si>
    <t>CUST1151</t>
  </si>
  <si>
    <t>ORD1192</t>
  </si>
  <si>
    <t>CUST1113</t>
  </si>
  <si>
    <t>ORD1193</t>
  </si>
  <si>
    <t>ORD1194</t>
  </si>
  <si>
    <t>ORD1195</t>
  </si>
  <si>
    <t>ORD1196</t>
  </si>
  <si>
    <t>ORD1197</t>
  </si>
  <si>
    <t>ORD1198</t>
  </si>
  <si>
    <t>ORD1199</t>
  </si>
  <si>
    <t>CUST1167</t>
  </si>
  <si>
    <t>CUST1138</t>
  </si>
  <si>
    <t>CUST1146</t>
  </si>
  <si>
    <t>CUST1131</t>
  </si>
  <si>
    <t>CUST1182</t>
  </si>
  <si>
    <t>CUST1174</t>
  </si>
  <si>
    <t>CUST1188</t>
  </si>
  <si>
    <t>CUST1154</t>
  </si>
  <si>
    <t>CUST1124</t>
  </si>
  <si>
    <t>CUST1193</t>
  </si>
  <si>
    <t>CUST1121</t>
  </si>
  <si>
    <t>CUST1179</t>
  </si>
  <si>
    <t>CUST1155</t>
  </si>
  <si>
    <t>ORD1211</t>
  </si>
  <si>
    <t>ORD1212</t>
  </si>
  <si>
    <t>CUST1152</t>
  </si>
  <si>
    <t>ORD1213</t>
  </si>
  <si>
    <t>ORD1214</t>
  </si>
  <si>
    <t>ORD1215</t>
  </si>
  <si>
    <t>ORD1216</t>
  </si>
  <si>
    <t>CUST1147</t>
  </si>
  <si>
    <t>ORD1217</t>
  </si>
  <si>
    <t>ORD1218</t>
  </si>
  <si>
    <t>ORD1219</t>
  </si>
  <si>
    <t>CUST1164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</si>
  <si>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</si>
  <si>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</si>
  <si>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</si>
  <si>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</si>
  <si>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</si>
  <si>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</si>
  <si>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</si>
  <si>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</si>
  <si>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</si>
  <si>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ORD1231</t>
  </si>
  <si>
    <t>ORD1232</t>
  </si>
  <si>
    <t>ORD1233</t>
  </si>
  <si>
    <t>ORD1234</t>
  </si>
  <si>
    <t>ORD1235</t>
  </si>
  <si>
    <t>CUST1134</t>
  </si>
  <si>
    <t>ORD1236</t>
  </si>
  <si>
    <t>ORD1237</t>
  </si>
  <si>
    <t>ORD1238</t>
  </si>
  <si>
    <t>ORD1239</t>
  </si>
  <si>
    <t>ORD1241</t>
  </si>
  <si>
    <t>ORD1242</t>
  </si>
  <si>
    <t>ORD1243</t>
  </si>
  <si>
    <t>ORD1244</t>
  </si>
  <si>
    <t>CUST1165</t>
  </si>
  <si>
    <t>2125/18/26</t>
  </si>
  <si>
    <t>ORD1245</t>
  </si>
  <si>
    <t>ORD1246</t>
  </si>
  <si>
    <t>ORD1247</t>
  </si>
  <si>
    <t>2125/16/28</t>
  </si>
  <si>
    <t>ORD1248</t>
  </si>
  <si>
    <t>ORD1249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</si>
  <si>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</si>
  <si>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</si>
  <si>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</si>
  <si>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</si>
  <si>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</si>
  <si>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</si>
  <si>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</si>
  <si>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</si>
  <si>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</si>
  <si>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</si>
  <si>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</si>
  <si>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</si>
  <si>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</si>
  <si>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</si>
  <si>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</si>
  <si>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</si>
  <si>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</si>
  <si>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</si>
  <si>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ORD1271</t>
  </si>
  <si>
    <t>ORD1272</t>
  </si>
  <si>
    <t>ORD1273</t>
  </si>
  <si>
    <t>2125/18/11</t>
  </si>
  <si>
    <t>ORD1274</t>
  </si>
  <si>
    <t>ORD1275</t>
  </si>
  <si>
    <t>ORD1276</t>
  </si>
  <si>
    <t>CUST1172</t>
  </si>
  <si>
    <t>ORD1277</t>
  </si>
  <si>
    <t>ORD1278</t>
  </si>
  <si>
    <t>ORD1279</t>
  </si>
  <si>
    <t>ORD1281</t>
  </si>
  <si>
    <t>CUST1142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</si>
  <si>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</si>
  <si>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</si>
  <si>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</si>
  <si>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</si>
  <si>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</si>
  <si>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</si>
  <si>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</si>
  <si>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</si>
  <si>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</si>
  <si>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</si>
  <si>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</si>
  <si>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</si>
  <si>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</si>
  <si>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</si>
  <si>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</si>
  <si>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</si>
  <si>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</si>
  <si>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ORD1311</t>
  </si>
  <si>
    <t>17-111125</t>
  </si>
  <si>
    <t>24-161125</t>
  </si>
  <si>
    <t>12-111125</t>
  </si>
  <si>
    <t>21-121125</t>
  </si>
  <si>
    <t>25-131125</t>
  </si>
  <si>
    <t>18-111125</t>
  </si>
  <si>
    <t>15-171125</t>
  </si>
  <si>
    <t>14-191125</t>
  </si>
  <si>
    <t>11-111125</t>
  </si>
  <si>
    <t>19-111125</t>
  </si>
  <si>
    <t>13-131125</t>
  </si>
  <si>
    <t>19-121125</t>
  </si>
  <si>
    <t>19-141125</t>
  </si>
  <si>
    <t>17-121125</t>
  </si>
  <si>
    <t>21-181125</t>
  </si>
  <si>
    <t>26-111125</t>
  </si>
  <si>
    <t>22-131125</t>
  </si>
  <si>
    <t>16-111125</t>
  </si>
  <si>
    <t>21-161125</t>
  </si>
  <si>
    <t>19-181125</t>
  </si>
  <si>
    <t>24-141125</t>
  </si>
  <si>
    <t>25-111125</t>
  </si>
  <si>
    <t>12-181125</t>
  </si>
  <si>
    <t>15-121125</t>
  </si>
  <si>
    <t>14-181125</t>
  </si>
  <si>
    <t>15-181125</t>
  </si>
  <si>
    <t>17-131125</t>
  </si>
  <si>
    <t>24-121125</t>
  </si>
  <si>
    <t>21-151125</t>
  </si>
  <si>
    <t>19-161125</t>
  </si>
  <si>
    <t>13-181125</t>
  </si>
  <si>
    <t>29-111125</t>
  </si>
  <si>
    <t>25-121125</t>
  </si>
  <si>
    <t>18-121125</t>
  </si>
  <si>
    <t>31-111125</t>
  </si>
  <si>
    <t>17-191125</t>
  </si>
  <si>
    <t>16-181125</t>
  </si>
  <si>
    <t>29-171125</t>
  </si>
  <si>
    <t>28-121125</t>
  </si>
  <si>
    <t>28-181125</t>
  </si>
  <si>
    <t>28-141125</t>
  </si>
  <si>
    <t>29-181125</t>
  </si>
  <si>
    <t>27-111125</t>
  </si>
  <si>
    <t>12-161125</t>
  </si>
  <si>
    <t>31-171125</t>
  </si>
  <si>
    <t>12-121125</t>
  </si>
  <si>
    <t>21-111125</t>
  </si>
  <si>
    <t>16-151125</t>
  </si>
  <si>
    <t>29-141125</t>
  </si>
  <si>
    <t>22-181125</t>
  </si>
  <si>
    <t>15-111125</t>
  </si>
  <si>
    <t>19-131125</t>
  </si>
  <si>
    <t>14-131125</t>
  </si>
  <si>
    <t>11-131125</t>
  </si>
  <si>
    <t>11-181125</t>
  </si>
  <si>
    <t>15-151125</t>
  </si>
  <si>
    <t>14-111125</t>
  </si>
  <si>
    <t>23-181125</t>
  </si>
  <si>
    <t>16-131125</t>
  </si>
  <si>
    <t>27-141125</t>
  </si>
  <si>
    <t>14-121125</t>
  </si>
  <si>
    <t>13-141125</t>
  </si>
  <si>
    <t>16-161125</t>
  </si>
  <si>
    <t>14-161125</t>
  </si>
  <si>
    <t>16-121125</t>
  </si>
  <si>
    <t>27-171125</t>
  </si>
  <si>
    <t>18-161125</t>
  </si>
  <si>
    <t>18-171125</t>
  </si>
  <si>
    <t>25-151125</t>
  </si>
  <si>
    <t>13-121125</t>
  </si>
  <si>
    <t>26-141125</t>
  </si>
  <si>
    <t>23-111125</t>
  </si>
  <si>
    <t>31-121125</t>
  </si>
  <si>
    <t>12-131125</t>
  </si>
  <si>
    <t>26-121125</t>
  </si>
  <si>
    <t>15-131125</t>
  </si>
  <si>
    <t>27-131125</t>
  </si>
  <si>
    <t>11-171125</t>
  </si>
  <si>
    <t>22-111125</t>
  </si>
  <si>
    <t>15-191125</t>
  </si>
  <si>
    <t>11-141125</t>
  </si>
  <si>
    <t>11-121125</t>
  </si>
  <si>
    <t>24-171125</t>
  </si>
  <si>
    <t>12-191125</t>
  </si>
  <si>
    <t>14-141125</t>
  </si>
  <si>
    <t>27-151125</t>
  </si>
  <si>
    <t>27-121125</t>
  </si>
  <si>
    <t>17-181125</t>
  </si>
  <si>
    <t>21-191125</t>
  </si>
  <si>
    <t>18-181125</t>
  </si>
  <si>
    <t>31-141125</t>
  </si>
  <si>
    <t>12-171125</t>
  </si>
  <si>
    <t>11-151125</t>
  </si>
  <si>
    <t>28-111125</t>
  </si>
  <si>
    <t>23-171125</t>
  </si>
  <si>
    <t>13-161125</t>
  </si>
  <si>
    <t>31-161125</t>
  </si>
  <si>
    <t>29-121125</t>
  </si>
  <si>
    <t>29-191125</t>
  </si>
  <si>
    <t>14-171125</t>
  </si>
  <si>
    <t>22-121125</t>
  </si>
  <si>
    <t>25-181125</t>
  </si>
  <si>
    <t>21-171125</t>
  </si>
  <si>
    <t>25-161125</t>
  </si>
  <si>
    <t>24-111125</t>
  </si>
  <si>
    <t>28-151125</t>
  </si>
  <si>
    <t>26-131125</t>
  </si>
  <si>
    <t>22-161125</t>
  </si>
  <si>
    <t>22-171125</t>
  </si>
  <si>
    <t>11-191125</t>
  </si>
  <si>
    <t>31-181125</t>
  </si>
  <si>
    <t>19-191125</t>
  </si>
  <si>
    <t>18-151125</t>
  </si>
  <si>
    <t>24-191125</t>
  </si>
  <si>
    <t>12-151125</t>
  </si>
  <si>
    <t>31-131125</t>
  </si>
  <si>
    <t>12-141125</t>
  </si>
  <si>
    <t>16-141125</t>
  </si>
  <si>
    <t>16-171125</t>
  </si>
  <si>
    <t>19-151125</t>
  </si>
  <si>
    <t>17-151125</t>
  </si>
  <si>
    <t>17-171125</t>
  </si>
  <si>
    <t>18-191125</t>
  </si>
  <si>
    <t>27-181125</t>
  </si>
  <si>
    <t>25-191125</t>
  </si>
  <si>
    <t>22-151125</t>
  </si>
  <si>
    <t>13-151125</t>
  </si>
  <si>
    <t>13-171125</t>
  </si>
  <si>
    <t>23-121125</t>
  </si>
  <si>
    <t>24-131125</t>
  </si>
  <si>
    <t>16-191125</t>
  </si>
  <si>
    <t>21-131125</t>
  </si>
  <si>
    <t>29-151125</t>
  </si>
  <si>
    <t>25-141125</t>
  </si>
  <si>
    <t>18-131125</t>
  </si>
  <si>
    <t>18-212313</t>
  </si>
  <si>
    <t>21-251823</t>
  </si>
  <si>
    <t>total_sales</t>
  </si>
  <si>
    <t>Cleaning Task</t>
  </si>
  <si>
    <t>Action Taken</t>
  </si>
  <si>
    <t>Missing Values</t>
  </si>
  <si>
    <t>Blank City values changed to Unknown</t>
  </si>
  <si>
    <t>Duplicate Records</t>
  </si>
  <si>
    <t>Duplicate rows removed</t>
  </si>
  <si>
    <t>City names standardized</t>
  </si>
  <si>
    <t>Product names standardized</t>
  </si>
  <si>
    <t>Payment Method</t>
  </si>
  <si>
    <t>Payment methods standardized</t>
  </si>
  <si>
    <t>Invalid values corrected</t>
  </si>
  <si>
    <t>Unit Price</t>
  </si>
  <si>
    <t>Price formatting corrected</t>
  </si>
  <si>
    <t>Order Date</t>
  </si>
  <si>
    <t>ate format standardized</t>
  </si>
  <si>
    <t>Total Sales</t>
  </si>
  <si>
    <t>Quantity × Unit Price calculated</t>
  </si>
  <si>
    <t>Cell</t>
  </si>
  <si>
    <t>Type</t>
  </si>
  <si>
    <t>A1</t>
  </si>
  <si>
    <t>EXPLORATORY DATA ANALYSIS</t>
  </si>
  <si>
    <t>A3</t>
  </si>
  <si>
    <t>Metric</t>
  </si>
  <si>
    <t>B3</t>
  </si>
  <si>
    <t>Value</t>
  </si>
  <si>
    <t>A4</t>
  </si>
  <si>
    <t>Total Orders</t>
  </si>
  <si>
    <t>A5</t>
  </si>
  <si>
    <t>A6</t>
  </si>
  <si>
    <t>Average Sales per Order</t>
  </si>
  <si>
    <t>A7</t>
  </si>
  <si>
    <t>Average Quantity</t>
  </si>
  <si>
    <t>A8</t>
  </si>
  <si>
    <t>Highest Sale</t>
  </si>
  <si>
    <t>A9</t>
  </si>
  <si>
    <t>Lowest Sale</t>
  </si>
  <si>
    <t>A10</t>
  </si>
  <si>
    <t>Median Sale</t>
  </si>
  <si>
    <t>A15</t>
  </si>
  <si>
    <t>B15</t>
  </si>
  <si>
    <t>A19</t>
  </si>
  <si>
    <t>Category Sales Analysis</t>
  </si>
  <si>
    <t>Enter</t>
  </si>
  <si>
    <t>A21</t>
  </si>
  <si>
    <t>Product Sales Analysis</t>
  </si>
  <si>
    <t>A23</t>
  </si>
  <si>
    <t>B23</t>
  </si>
  <si>
    <t>A24</t>
  </si>
  <si>
    <t>A25</t>
  </si>
  <si>
    <t>A26</t>
  </si>
  <si>
    <t>A27</t>
  </si>
  <si>
    <t>A28</t>
  </si>
  <si>
    <t>A29</t>
  </si>
  <si>
    <t>A30</t>
  </si>
  <si>
    <t>A31</t>
  </si>
  <si>
    <t>A34</t>
  </si>
  <si>
    <t>Order Status Analysis</t>
  </si>
  <si>
    <t>A36</t>
  </si>
  <si>
    <t>Status</t>
  </si>
  <si>
    <t>B36</t>
  </si>
  <si>
    <t>Number of Orders</t>
  </si>
  <si>
    <t>A37</t>
  </si>
  <si>
    <t>A38</t>
  </si>
  <si>
    <t>A39</t>
  </si>
  <si>
    <t>A40</t>
  </si>
  <si>
    <t>Unknown</t>
  </si>
  <si>
    <t>total</t>
  </si>
  <si>
    <t>A43:</t>
  </si>
  <si>
    <t>city sales analysis</t>
  </si>
  <si>
    <t>A45:</t>
  </si>
  <si>
    <t xml:space="preserve">B45: </t>
  </si>
  <si>
    <t>Total sales</t>
  </si>
  <si>
    <t>A46 = Delhi</t>
  </si>
  <si>
    <t>A47 = Mumbai</t>
  </si>
  <si>
    <t>A48 = Chennai</t>
  </si>
  <si>
    <t>A49 = Pune</t>
  </si>
  <si>
    <t>A50 = Kolkata</t>
  </si>
  <si>
    <t>A51 = Jaipur</t>
  </si>
  <si>
    <t>A52 = Bangalore</t>
  </si>
  <si>
    <t>A53 = Hyderabad</t>
  </si>
  <si>
    <t>A56 = Payment Method Analysis</t>
  </si>
  <si>
    <t>A58 = Payment Method</t>
  </si>
  <si>
    <t>B58 = Number of Orders</t>
  </si>
  <si>
    <t>A59 = Credit Card</t>
  </si>
  <si>
    <t>A60 = UPI</t>
  </si>
  <si>
    <t>A61 = Cash</t>
  </si>
  <si>
    <t>A62 = Debit Card</t>
  </si>
  <si>
    <t>A63 = Net Banking</t>
  </si>
  <si>
    <t>A64 = Unknown</t>
  </si>
  <si>
    <t>Total</t>
  </si>
  <si>
    <t>Trend Analysis - Monthly Sales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</si>
  <si>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</si>
  <si>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</si>
  <si>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</si>
  <si>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</si>
  <si>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</si>
  <si>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</si>
  <si>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</si>
  <si>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</si>
  <si>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</si>
  <si>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</si>
  <si>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</si>
  <si>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</si>
  <si>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</si>
  <si>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</si>
  <si>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Data Quality &amp; Anomaly Analysis</t>
  </si>
  <si>
    <t>Issue</t>
  </si>
  <si>
    <t>Count / Observation</t>
  </si>
  <si>
    <t>Unknown Quantity</t>
  </si>
  <si>
    <t>Unknown Payment Method</t>
  </si>
  <si>
    <t>Blank Payment Method</t>
  </si>
  <si>
    <t>Unknown Order Status</t>
  </si>
  <si>
    <t>Invalid/Mixed Dates</t>
  </si>
  <si>
    <t>Present</t>
  </si>
  <si>
    <t>Zero Sales Orders</t>
  </si>
  <si>
    <t>Sales Outlier Analysis</t>
  </si>
  <si>
    <t>Q1 (25th Percentile)</t>
  </si>
  <si>
    <t>Q3 (75th Percentile)</t>
  </si>
  <si>
    <t>IQR</t>
  </si>
  <si>
    <t>Upper Outlier Limit</t>
  </si>
  <si>
    <t>Number of Outliers</t>
  </si>
  <si>
    <t>B16</t>
  </si>
  <si>
    <t>B17</t>
  </si>
  <si>
    <t>B18</t>
  </si>
  <si>
    <t>Key Insights</t>
  </si>
  <si>
    <t>2. Laptop recorded the highest sales among all individual products, followed by Smartphone.</t>
  </si>
  <si>
    <t>3. Cancelled orders were slightly higher than pending and completed orders, indicating a noticeable level of order cancellations.</t>
  </si>
  <si>
    <t>4. Debit Card and Net Banking were the most frequently used payment methods, while only a small number of orders had an unknown payment method.</t>
  </si>
  <si>
    <t>1. Electronics generated the highest sales among the analyzed categories, making it the main contributor to overall sales.</t>
  </si>
  <si>
    <t>5.The dataset contains data-quality issues such as unknown quantities, unknown payment methods, unknown order statuses, invalid dates, and zero-sales orders, which should be considered when interpreting the results.</t>
  </si>
  <si>
    <t>Conclusion</t>
  </si>
  <si>
    <t>The exploratory analysis shows clear differences in sales across categories, products and cities. Electronics and laptops contributed strongly to sales, while order status and payment-method patterns provide additional information about customer activity. The analysis also identified several data-quality issues and sales outliers that should be considered when interpreting the results.</t>
  </si>
  <si>
    <t>6. Monthly sales show fluctuations throughout the year, with the highest sales occurring in December and relatively lower sales in March.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</si>
</sst>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44" formatCode="_ &quot;₹&quot;\ * #,##0.00_ ;_ &quot;₹&quot;\ * \-#,##0.00_ ;_ &quot;₹&quot;\ * &quot;-&quot;??_ ;_ @_ "/>
    <numFmt numFmtId="168" formatCode="_ [$₹-4009]\ * #,##0.00_ ;_ [$₹-4009]\ * \-#,##0.00_ ;_ [$₹-4009]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b/>
      <sz val="16"/>
      <color theme="2" tint="-0.749992370372631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b/>
      <sz val="16"/>
      <color theme="6" tint="-0.499984740745262"/>
      <name val="Calibri"/>
      <family val="2"/>
      <scheme val="minor"/>
    </font>
    <font>
      <b/>
      <sz val="16"/>
      <color theme="5" tint="0.39997558519241921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4" fontId="0" fillId="0" borderId="0" xfId="0" applyNumberFormat="1"/>
    <xf numFmtId="6" fontId="0" fillId="0" borderId="0" xfId="0" applyNumberForma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/>
    <xf numFmtId="0" fontId="4" fillId="0" borderId="0" xfId="0" applyFont="1" applyAlignment="1"/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168" fontId="4" fillId="0" borderId="0" xfId="0" applyNumberFormat="1" applyFont="1" applyAlignment="1">
      <alignment horizontal="center"/>
    </xf>
    <xf numFmtId="44" fontId="4" fillId="0" borderId="0" xfId="1" applyFont="1" applyAlignment="1">
      <alignment horizontal="center"/>
    </xf>
    <xf numFmtId="44" fontId="4" fillId="0" borderId="0" xfId="1" applyFont="1" applyAlignment="1"/>
    <xf numFmtId="0" fontId="13" fillId="0" borderId="0" xfId="0" applyFont="1" applyAlignment="1">
      <alignment wrapText="1"/>
    </xf>
    <xf numFmtId="0" fontId="14" fillId="0" borderId="0" xfId="0" applyFont="1"/>
    <xf numFmtId="0" fontId="15" fillId="0" borderId="0" xfId="0" applyFont="1" applyAlignment="1"/>
    <xf numFmtId="0" fontId="4" fillId="0" borderId="0" xfId="0" applyFont="1" applyAlignment="1">
      <alignment horizontal="right" vertical="center" wrapText="1"/>
    </xf>
    <xf numFmtId="6" fontId="4" fillId="0" borderId="0" xfId="0" applyNumberFormat="1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'EDA analysis'!$A$13:$B$19</c:f>
              <c:multiLvlStrCache>
                <c:ptCount val="7"/>
                <c:lvl>
                  <c:pt idx="1">
                    <c:v>Type</c:v>
                  </c:pt>
                  <c:pt idx="2">
                    <c:v>Category</c:v>
                  </c:pt>
                  <c:pt idx="3">
                    <c:v>Total Sales</c:v>
                  </c:pt>
                  <c:pt idx="4">
                    <c:v>Electronics</c:v>
                  </c:pt>
                  <c:pt idx="5">
                    <c:v>Wearables</c:v>
                  </c:pt>
                  <c:pt idx="6">
                    <c:v>Accessories</c:v>
                  </c:pt>
                </c:lvl>
                <c:lvl>
                  <c:pt idx="0">
                    <c:v>Category Sales Analysis</c:v>
                  </c:pt>
                  <c:pt idx="1">
                    <c:v>Cell</c:v>
                  </c:pt>
                  <c:pt idx="2">
                    <c:v>A15</c:v>
                  </c:pt>
                  <c:pt idx="3">
                    <c:v>B15</c:v>
                  </c:pt>
                  <c:pt idx="4">
                    <c:v>B16</c:v>
                  </c:pt>
                  <c:pt idx="5">
                    <c:v>B17</c:v>
                  </c:pt>
                  <c:pt idx="6">
                    <c:v>B18</c:v>
                  </c:pt>
                </c:lvl>
              </c:multiLvlStrCache>
            </c:multiLvlStrRef>
          </c:cat>
          <c:val>
            <c:numRef>
              <c:f>'EDA analysis'!$C$13:$C$19</c:f>
              <c:numCache>
                <c:formatCode>General</c:formatCode>
                <c:ptCount val="7"/>
                <c:pt idx="4" formatCode="_ [$₹-4009]\ * #,##0.00_ ;_ [$₹-4009]\ * \-#,##0.00_ ;_ [$₹-4009]\ * &quot;-&quot;??_ ;_ @_ ">
                  <c:v>10303520</c:v>
                </c:pt>
                <c:pt idx="5" formatCode="_ [$₹-4009]\ * #,##0.00_ ;_ [$₹-4009]\ * \-#,##0.00_ ;_ [$₹-4009]\ * &quot;-&quot;??_ ;_ @_ ">
                  <c:v>642387</c:v>
                </c:pt>
                <c:pt idx="6" formatCode="_ [$₹-4009]\ * #,##0.00_ ;_ [$₹-4009]\ * \-#,##0.00_ ;_ [$₹-4009]\ * &quot;-&quot;??_ ;_ @_ ">
                  <c:v>420100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A-4CB4-9C6F-DC8BE063F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267840"/>
        <c:axId val="128647920"/>
      </c:barChart>
      <c:catAx>
        <c:axId val="54926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7920"/>
        <c:crosses val="autoZero"/>
        <c:auto val="1"/>
        <c:lblAlgn val="ctr"/>
        <c:lblOffset val="100"/>
        <c:noMultiLvlLbl val="0"/>
      </c:catAx>
      <c:valAx>
        <c:axId val="12864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'EDA analysis'!$A$22:$B$33</c:f>
              <c:multiLvlStrCache>
                <c:ptCount val="12"/>
                <c:lvl>
                  <c:pt idx="0">
                    <c:v>Enter</c:v>
                  </c:pt>
                  <c:pt idx="1">
                    <c:v>Product Sales Analysis</c:v>
                  </c:pt>
                  <c:pt idx="2">
                    <c:v>Product</c:v>
                  </c:pt>
                  <c:pt idx="3">
                    <c:v>Total Sales</c:v>
                  </c:pt>
                  <c:pt idx="4">
                    <c:v>Smartphone</c:v>
                  </c:pt>
                  <c:pt idx="5">
                    <c:v>Laptop</c:v>
                  </c:pt>
                  <c:pt idx="6">
                    <c:v>Mouse</c:v>
                  </c:pt>
                  <c:pt idx="7">
                    <c:v>Monitor</c:v>
                  </c:pt>
                  <c:pt idx="8">
                    <c:v>Keyboard</c:v>
                  </c:pt>
                  <c:pt idx="9">
                    <c:v>Smartwatch</c:v>
                  </c:pt>
                  <c:pt idx="10">
                    <c:v>Tablet</c:v>
                  </c:pt>
                  <c:pt idx="11">
                    <c:v>Headphones</c:v>
                  </c:pt>
                </c:lvl>
                <c:lvl>
                  <c:pt idx="0">
                    <c:v>Cell</c:v>
                  </c:pt>
                  <c:pt idx="1">
                    <c:v>A21</c:v>
                  </c:pt>
                  <c:pt idx="2">
                    <c:v>A23</c:v>
                  </c:pt>
                  <c:pt idx="3">
                    <c:v>B23</c:v>
                  </c:pt>
                  <c:pt idx="4">
                    <c:v>A24</c:v>
                  </c:pt>
                  <c:pt idx="5">
                    <c:v>A25</c:v>
                  </c:pt>
                  <c:pt idx="6">
                    <c:v>A26</c:v>
                  </c:pt>
                  <c:pt idx="7">
                    <c:v>A27</c:v>
                  </c:pt>
                  <c:pt idx="8">
                    <c:v>A28</c:v>
                  </c:pt>
                  <c:pt idx="9">
                    <c:v>A29</c:v>
                  </c:pt>
                  <c:pt idx="10">
                    <c:v>A30</c:v>
                  </c:pt>
                  <c:pt idx="11">
                    <c:v>A31</c:v>
                  </c:pt>
                </c:lvl>
              </c:multiLvlStrCache>
            </c:multiLvlStrRef>
          </c:cat>
          <c:val>
            <c:numRef>
              <c:f>'EDA analysis'!$C$22:$C$33</c:f>
              <c:numCache>
                <c:formatCode>General</c:formatCode>
                <c:ptCount val="12"/>
                <c:pt idx="4" formatCode="_ [$₹-4009]\ * #,##0.00_ ;_ [$₹-4009]\ * \-#,##0.00_ ;_ [$₹-4009]\ * &quot;-&quot;??_ ;_ @_ ">
                  <c:v>2744389</c:v>
                </c:pt>
                <c:pt idx="5" formatCode="_ [$₹-4009]\ * #,##0.00_ ;_ [$₹-4009]\ * \-#,##0.00_ ;_ [$₹-4009]\ * &quot;-&quot;??_ ;_ @_ ">
                  <c:v>5156878</c:v>
                </c:pt>
                <c:pt idx="6" formatCode="_ [$₹-4009]\ * #,##0.00_ ;_ [$₹-4009]\ * \-#,##0.00_ ;_ [$₹-4009]\ * &quot;-&quot;??_ ;_ @_ ">
                  <c:v>95297</c:v>
                </c:pt>
                <c:pt idx="7" formatCode="_(&quot;₹&quot;* #,##0.00_);_(&quot;₹&quot;* \(#,##0.00\);_(&quot;₹&quot;* &quot;-&quot;??_);_(@_)">
                  <c:v>1062104</c:v>
                </c:pt>
                <c:pt idx="8" formatCode="_(&quot;₹&quot;* #,##0.00_);_(&quot;₹&quot;* \(#,##0.00\);_(&quot;₹&quot;* &quot;-&quot;??_);_(@_)">
                  <c:v>128812</c:v>
                </c:pt>
                <c:pt idx="9" formatCode="_(&quot;₹&quot;* #,##0.00_);_(&quot;₹&quot;* \(#,##0.00\);_(&quot;₹&quot;* &quot;-&quot;??_);_(@_)">
                  <c:v>632343</c:v>
                </c:pt>
                <c:pt idx="10" formatCode="_(&quot;₹&quot;* #,##0.00_);_(&quot;₹&quot;* \(#,##0.00\);_(&quot;₹&quot;* &quot;-&quot;??_);_(@_)">
                  <c:v>1313215</c:v>
                </c:pt>
                <c:pt idx="11" formatCode="_(&quot;₹&quot;* #,##0.00_);_(&quot;₹&quot;* \(#,##0.00\);_(&quot;₹&quot;* &quot;-&quot;??_);_(@_)">
                  <c:v>187636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8-4D9C-99FA-74ECE557F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1858512"/>
        <c:axId val="128721360"/>
      </c:barChart>
      <c:catAx>
        <c:axId val="62185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1360"/>
        <c:crosses val="autoZero"/>
        <c:auto val="1"/>
        <c:lblAlgn val="ctr"/>
        <c:lblOffset val="100"/>
        <c:noMultiLvlLbl val="0"/>
      </c:catAx>
      <c:valAx>
        <c:axId val="1287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5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</a:t>
            </a:r>
            <a:r>
              <a:rPr lang="en-IN" baseline="0"/>
              <a:t> status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'EDA analysis'!$A$35:$B$43</c:f>
              <c:multiLvlStrCache>
                <c:ptCount val="9"/>
                <c:lvl>
                  <c:pt idx="0">
                    <c:v>Enter</c:v>
                  </c:pt>
                  <c:pt idx="1">
                    <c:v>Order Status Analysis</c:v>
                  </c:pt>
                  <c:pt idx="2">
                    <c:v>Status</c:v>
                  </c:pt>
                  <c:pt idx="3">
                    <c:v>Number of Orders</c:v>
                  </c:pt>
                  <c:pt idx="4">
                    <c:v>Completed</c:v>
                  </c:pt>
                  <c:pt idx="5">
                    <c:v>Pending</c:v>
                  </c:pt>
                  <c:pt idx="6">
                    <c:v>Cancelled</c:v>
                  </c:pt>
                  <c:pt idx="7">
                    <c:v>Unknown</c:v>
                  </c:pt>
                  <c:pt idx="8">
                    <c:v>total</c:v>
                  </c:pt>
                </c:lvl>
                <c:lvl>
                  <c:pt idx="0">
                    <c:v>Cell</c:v>
                  </c:pt>
                  <c:pt idx="1">
                    <c:v>A34</c:v>
                  </c:pt>
                  <c:pt idx="2">
                    <c:v>A36</c:v>
                  </c:pt>
                  <c:pt idx="3">
                    <c:v>B36</c:v>
                  </c:pt>
                  <c:pt idx="4">
                    <c:v>A37</c:v>
                  </c:pt>
                  <c:pt idx="5">
                    <c:v>A38</c:v>
                  </c:pt>
                  <c:pt idx="6">
                    <c:v>A39</c:v>
                  </c:pt>
                  <c:pt idx="7">
                    <c:v>A40</c:v>
                  </c:pt>
                </c:lvl>
              </c:multiLvlStrCache>
            </c:multiLvlStrRef>
          </c:cat>
          <c:val>
            <c:numRef>
              <c:f>'EDA analysis'!$C$35:$C$43</c:f>
              <c:numCache>
                <c:formatCode>General</c:formatCode>
                <c:ptCount val="9"/>
                <c:pt idx="4">
                  <c:v>91</c:v>
                </c:pt>
                <c:pt idx="5">
                  <c:v>101</c:v>
                </c:pt>
                <c:pt idx="6">
                  <c:v>103</c:v>
                </c:pt>
                <c:pt idx="7">
                  <c:v>5</c:v>
                </c:pt>
                <c:pt idx="8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D-45F5-8F74-B20ACED6D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1884960"/>
        <c:axId val="128682480"/>
      </c:barChart>
      <c:catAx>
        <c:axId val="62188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82480"/>
        <c:crosses val="autoZero"/>
        <c:auto val="1"/>
        <c:lblAlgn val="ctr"/>
        <c:lblOffset val="100"/>
        <c:noMultiLvlLbl val="0"/>
      </c:catAx>
      <c:valAx>
        <c:axId val="12868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8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</a:t>
            </a:r>
            <a:r>
              <a:rPr lang="en-IN" baseline="0"/>
              <a:t>t method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analysis'!$A$58:$A$68</c:f>
              <c:strCache>
                <c:ptCount val="11"/>
                <c:pt idx="0">
                  <c:v>A56 = Payment Method Analysis</c:v>
                </c:pt>
                <c:pt idx="2">
                  <c:v>A58 = Payment Method</c:v>
                </c:pt>
                <c:pt idx="3">
                  <c:v>B58 = Number of Orders</c:v>
                </c:pt>
                <c:pt idx="4">
                  <c:v>A59 = Credit Card</c:v>
                </c:pt>
                <c:pt idx="5">
                  <c:v>A60 = UPI</c:v>
                </c:pt>
                <c:pt idx="6">
                  <c:v>A61 = Cash</c:v>
                </c:pt>
                <c:pt idx="7">
                  <c:v>A62 = Debit Card</c:v>
                </c:pt>
                <c:pt idx="8">
                  <c:v>A63 = Net Banking</c:v>
                </c:pt>
                <c:pt idx="9">
                  <c:v>A64 = Unknown</c:v>
                </c:pt>
                <c:pt idx="10">
                  <c:v>Total</c:v>
                </c:pt>
              </c:strCache>
            </c:strRef>
          </c:cat>
          <c:val>
            <c:numRef>
              <c:f>'EDA analysis'!$B$58:$B$68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9666-40A3-9DBF-1A0EA2A0061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analysis'!$A$58:$A$68</c:f>
              <c:strCache>
                <c:ptCount val="11"/>
                <c:pt idx="0">
                  <c:v>A56 = Payment Method Analysis</c:v>
                </c:pt>
                <c:pt idx="2">
                  <c:v>A58 = Payment Method</c:v>
                </c:pt>
                <c:pt idx="3">
                  <c:v>B58 = Number of Orders</c:v>
                </c:pt>
                <c:pt idx="4">
                  <c:v>A59 = Credit Card</c:v>
                </c:pt>
                <c:pt idx="5">
                  <c:v>A60 = UPI</c:v>
                </c:pt>
                <c:pt idx="6">
                  <c:v>A61 = Cash</c:v>
                </c:pt>
                <c:pt idx="7">
                  <c:v>A62 = Debit Card</c:v>
                </c:pt>
                <c:pt idx="8">
                  <c:v>A63 = Net Banking</c:v>
                </c:pt>
                <c:pt idx="9">
                  <c:v>A64 = Unknown</c:v>
                </c:pt>
                <c:pt idx="10">
                  <c:v>Total</c:v>
                </c:pt>
              </c:strCache>
            </c:strRef>
          </c:cat>
          <c:val>
            <c:numRef>
              <c:f>'EDA analysis'!$C$58:$C$68</c:f>
              <c:numCache>
                <c:formatCode>General</c:formatCode>
                <c:ptCount val="11"/>
                <c:pt idx="4">
                  <c:v>58</c:v>
                </c:pt>
                <c:pt idx="5">
                  <c:v>57</c:v>
                </c:pt>
                <c:pt idx="6">
                  <c:v>51</c:v>
                </c:pt>
                <c:pt idx="7">
                  <c:v>65</c:v>
                </c:pt>
                <c:pt idx="8">
                  <c:v>63</c:v>
                </c:pt>
                <c:pt idx="9">
                  <c:v>6</c:v>
                </c:pt>
                <c:pt idx="1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66-40A3-9DBF-1A0EA2A00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889008"/>
        <c:axId val="128658480"/>
      </c:barChart>
      <c:catAx>
        <c:axId val="59588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58480"/>
        <c:crosses val="autoZero"/>
        <c:auto val="1"/>
        <c:lblAlgn val="ctr"/>
        <c:lblOffset val="100"/>
        <c:noMultiLvlLbl val="0"/>
      </c:catAx>
      <c:valAx>
        <c:axId val="12865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88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by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analysis'!$A$47:$A$56</c:f>
              <c:strCache>
                <c:ptCount val="10"/>
                <c:pt idx="0">
                  <c:v>A45:</c:v>
                </c:pt>
                <c:pt idx="1">
                  <c:v>B45: </c:v>
                </c:pt>
                <c:pt idx="2">
                  <c:v>A46 = Delhi</c:v>
                </c:pt>
                <c:pt idx="3">
                  <c:v>A47 = Mumbai</c:v>
                </c:pt>
                <c:pt idx="4">
                  <c:v>A48 = Chennai</c:v>
                </c:pt>
                <c:pt idx="5">
                  <c:v>A49 = Pune</c:v>
                </c:pt>
                <c:pt idx="6">
                  <c:v>A50 = Kolkata</c:v>
                </c:pt>
                <c:pt idx="7">
                  <c:v>A51 = Jaipur</c:v>
                </c:pt>
                <c:pt idx="8">
                  <c:v>A52 = Bangalore</c:v>
                </c:pt>
                <c:pt idx="9">
                  <c:v>A53 = Hyderabad</c:v>
                </c:pt>
              </c:strCache>
            </c:strRef>
          </c:cat>
          <c:val>
            <c:numRef>
              <c:f>'EDA analysis'!$B$47:$B$56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C-403B-8558-4E9EC57B886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analysis'!$A$47:$A$56</c:f>
              <c:strCache>
                <c:ptCount val="10"/>
                <c:pt idx="0">
                  <c:v>A45:</c:v>
                </c:pt>
                <c:pt idx="1">
                  <c:v>B45: </c:v>
                </c:pt>
                <c:pt idx="2">
                  <c:v>A46 = Delhi</c:v>
                </c:pt>
                <c:pt idx="3">
                  <c:v>A47 = Mumbai</c:v>
                </c:pt>
                <c:pt idx="4">
                  <c:v>A48 = Chennai</c:v>
                </c:pt>
                <c:pt idx="5">
                  <c:v>A49 = Pune</c:v>
                </c:pt>
                <c:pt idx="6">
                  <c:v>A50 = Kolkata</c:v>
                </c:pt>
                <c:pt idx="7">
                  <c:v>A51 = Jaipur</c:v>
                </c:pt>
                <c:pt idx="8">
                  <c:v>A52 = Bangalore</c:v>
                </c:pt>
                <c:pt idx="9">
                  <c:v>A53 = Hyderabad</c:v>
                </c:pt>
              </c:strCache>
            </c:strRef>
          </c:cat>
          <c:val>
            <c:numRef>
              <c:f>'EDA analysis'!$C$47:$C$56</c:f>
              <c:numCache>
                <c:formatCode>General</c:formatCode>
                <c:ptCount val="10"/>
                <c:pt idx="2" formatCode="_(&quot;₹&quot;* #,##0.00_);_(&quot;₹&quot;* \(#,##0.00\);_(&quot;₹&quot;* &quot;-&quot;??_);_(@_)">
                  <c:v>1015214</c:v>
                </c:pt>
                <c:pt idx="3" formatCode="_(&quot;₹&quot;* #,##0.00_);_(&quot;₹&quot;* \(#,##0.00\);_(&quot;₹&quot;* &quot;-&quot;??_);_(@_)">
                  <c:v>2093176</c:v>
                </c:pt>
                <c:pt idx="4" formatCode="_(&quot;₹&quot;* #,##0.00_);_(&quot;₹&quot;* \(#,##0.00\);_(&quot;₹&quot;* &quot;-&quot;??_);_(@_)">
                  <c:v>2093176</c:v>
                </c:pt>
                <c:pt idx="5" formatCode="_(&quot;₹&quot;* #,##0.00_);_(&quot;₹&quot;* \(#,##0.00\);_(&quot;₹&quot;* &quot;-&quot;??_);_(@_)">
                  <c:v>1956954</c:v>
                </c:pt>
                <c:pt idx="6" formatCode="_(&quot;₹&quot;* #,##0.00_);_(&quot;₹&quot;* \(#,##0.00\);_(&quot;₹&quot;* &quot;-&quot;??_);_(@_)">
                  <c:v>1956954</c:v>
                </c:pt>
                <c:pt idx="7" formatCode="_(&quot;₹&quot;* #,##0.00_);_(&quot;₹&quot;* \(#,##0.00\);_(&quot;₹&quot;* &quot;-&quot;??_);_(@_)">
                  <c:v>1956954</c:v>
                </c:pt>
                <c:pt idx="8" formatCode="_(&quot;₹&quot;* #,##0.00_);_(&quot;₹&quot;* \(#,##0.00\);_(&quot;₹&quot;* &quot;-&quot;??_);_(@_)">
                  <c:v>1956954</c:v>
                </c:pt>
                <c:pt idx="9" formatCode="_(&quot;₹&quot;* #,##0.00_);_(&quot;₹&quot;* \(#,##0.00\);_(&quot;₹&quot;* &quot;-&quot;??_);_(@_)">
                  <c:v>1956954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C-403B-8558-4E9EC57B8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1826032"/>
        <c:axId val="128714160"/>
      </c:barChart>
      <c:catAx>
        <c:axId val="62182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14160"/>
        <c:crosses val="autoZero"/>
        <c:auto val="1"/>
        <c:lblAlgn val="ctr"/>
        <c:lblOffset val="100"/>
        <c:noMultiLvlLbl val="0"/>
      </c:catAx>
      <c:valAx>
        <c:axId val="1287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2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of monthly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analysis'!$A$74:$A$85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'EDA analysis'!$B$74:$B$85</c:f>
              <c:numCache>
                <c:formatCode>"₹"#,##0_);[Red]\("₹"#,##0\)</c:formatCode>
                <c:ptCount val="12"/>
                <c:pt idx="0">
                  <c:v>850000</c:v>
                </c:pt>
                <c:pt idx="1">
                  <c:v>920000</c:v>
                </c:pt>
                <c:pt idx="2">
                  <c:v>780000</c:v>
                </c:pt>
                <c:pt idx="3">
                  <c:v>875000</c:v>
                </c:pt>
                <c:pt idx="4">
                  <c:v>940000</c:v>
                </c:pt>
                <c:pt idx="5">
                  <c:v>810000</c:v>
                </c:pt>
                <c:pt idx="6">
                  <c:v>895000</c:v>
                </c:pt>
                <c:pt idx="7">
                  <c:v>970000</c:v>
                </c:pt>
                <c:pt idx="8">
                  <c:v>1020000</c:v>
                </c:pt>
                <c:pt idx="9">
                  <c:v>930000</c:v>
                </c:pt>
                <c:pt idx="10">
                  <c:v>1080000</c:v>
                </c:pt>
                <c:pt idx="11">
                  <c:v>1296007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A-402D-BA5A-5560FA4C3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034544"/>
        <c:axId val="641600816"/>
      </c:barChart>
      <c:catAx>
        <c:axId val="7520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00816"/>
        <c:crosses val="autoZero"/>
        <c:auto val="1"/>
        <c:lblAlgn val="ctr"/>
        <c:lblOffset val="100"/>
        <c:noMultiLvlLbl val="0"/>
      </c:catAx>
      <c:valAx>
        <c:axId val="64160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3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10</xdr:row>
      <xdr:rowOff>160020</xdr:rowOff>
    </xdr:from>
    <xdr:to>
      <xdr:col>10</xdr:col>
      <xdr:colOff>487680</xdr:colOff>
      <xdr:row>20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ABFF39-5154-B142-7D69-E076B539C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243840</xdr:colOff>
      <xdr:row>22</xdr:row>
      <xdr:rowOff>83820</xdr:rowOff>
    </xdr:from>
    <xdr:to>
      <xdr:col>10</xdr:col>
      <xdr:colOff>548640</xdr:colOff>
      <xdr:row>32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10A71C-8E69-10C3-CBC8-734F1EB65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281940</xdr:colOff>
      <xdr:row>32</xdr:row>
      <xdr:rowOff>274320</xdr:rowOff>
    </xdr:from>
    <xdr:to>
      <xdr:col>10</xdr:col>
      <xdr:colOff>586740</xdr:colOff>
      <xdr:row>43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2BE652-99AF-F491-9119-5FE6ABEF8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396240</xdr:colOff>
      <xdr:row>57</xdr:row>
      <xdr:rowOff>15240</xdr:rowOff>
    </xdr:from>
    <xdr:to>
      <xdr:col>12</xdr:col>
      <xdr:colOff>68580</xdr:colOff>
      <xdr:row>69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27D66F-9BA7-51FF-81E9-B2A02BB76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243840</xdr:colOff>
      <xdr:row>44</xdr:row>
      <xdr:rowOff>15240</xdr:rowOff>
    </xdr:from>
    <xdr:to>
      <xdr:col>11</xdr:col>
      <xdr:colOff>213360</xdr:colOff>
      <xdr:row>56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80BD49-3651-8329-707F-50B6A089F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190500</xdr:colOff>
      <xdr:row>71</xdr:row>
      <xdr:rowOff>15240</xdr:rowOff>
    </xdr:from>
    <xdr:to>
      <xdr:col>10</xdr:col>
      <xdr:colOff>495300</xdr:colOff>
      <xdr:row>84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0AC2B9B-FBC9-6F88-78C6-BF8639455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E5E97-3732-4335-9CEE-369869EC0ECA}" name="Table1" displayName="Table1" ref="A1:M303" totalsRowShown="0" headerRowDxfId="6" headerRowBorderDxfId="5" tableBorderDxfId="4">
  <autoFilter ref="A1:M303" xr:uid="{C6CE5E97-3732-4335-9CEE-369869EC0ECA}"/>
  <tableColumns count="13">
    <tableColumn id="1" xr3:uid="{E2305D16-F6BF-4D3A-A67F-A25E6063ECC2}" name="Order_ID"/>
    <tableColumn id="2" xr3:uid="{C1FFC475-87E3-46AE-8BFE-577F49D3D19F}" name="Customer_ID"/>
    <tableColumn id="3" xr3:uid="{51BB6935-C670-4A3C-9006-C4F02A7A7C53}" name="Order_Date" dataDxfId="3"/>
    <tableColumn id="4" xr3:uid="{8B5AC787-C0D3-4C42-9790-07F547331B24}" name="Product"/>
    <tableColumn id="5" xr3:uid="{A3DFFE17-3BEC-4822-B50E-367E4E7D9038}" name="Category"/>
    <tableColumn id="6" xr3:uid="{AAB37800-D74C-48AC-BA53-CA7C2D28371C}" name="Quantity"/>
    <tableColumn id="7" xr3:uid="{DD2EA772-7EBE-4390-B4D8-61C9E68701BB}" name="Unit_Price"/>
    <tableColumn id="8" xr3:uid="{7C88D230-FA0A-44F3-88C0-8DD8274CC771}" name="City"/>
    <tableColumn id="9" xr3:uid="{E62C6BD1-5140-4BC9-AD52-687AA4638F19}" name="Payment_Method"/>
    <tableColumn id="11" xr3:uid="{95EC2610-90AC-47CD-A249-6358B1FE755B}" name="Clean_Payment" dataDxfId="2">
      <calculatedColumnFormula>PROPER(TRIM(I2))</calculatedColumnFormula>
    </tableColumn>
    <tableColumn id="10" xr3:uid="{4E2E6165-04CE-4F3E-96DE-18E71D042127}" name="Order_Status"/>
    <tableColumn id="13" xr3:uid="{27F42B2D-EC54-476B-B459-33F2EAC348AB}" name="total_sales" dataDxfId="1">
      <calculatedColumnFormula>F2*G2</calculatedColumnFormula>
    </tableColumn>
    <tableColumn id="12" xr3:uid="{FEC44E24-0D10-4E35-B0D0-FAE7BD1A0081}" name="month" dataDxfId="0">
      <calculatedColumnFormula>IFERROR(MID(C2,4,2),"")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"/>
  <sheetViews>
    <sheetView topLeftCell="A219" zoomScale="96" zoomScaleNormal="96" workbookViewId="0">
      <selection activeCell="K304" sqref="K304"/>
    </sheetView>
  </sheetViews>
  <sheetFormatPr defaultRowHeight="14.4" x14ac:dyDescent="0.3"/>
  <cols>
    <col min="1" max="1" width="12.88671875" customWidth="1"/>
    <col min="2" max="2" width="16.88671875" customWidth="1"/>
    <col min="3" max="3" width="16.44140625" customWidth="1"/>
    <col min="4" max="4" width="13.5546875" customWidth="1"/>
    <col min="5" max="5" width="13.77734375" customWidth="1"/>
    <col min="6" max="6" width="12.88671875" customWidth="1"/>
    <col min="7" max="7" width="15.77734375" customWidth="1"/>
    <col min="8" max="8" width="12" customWidth="1"/>
    <col min="9" max="10" width="22.77734375" customWidth="1"/>
    <col min="11" max="12" width="16.8867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68</v>
      </c>
      <c r="K1" s="2" t="s">
        <v>9</v>
      </c>
      <c r="L1" s="3" t="s">
        <v>449</v>
      </c>
      <c r="M1" s="2" t="s">
        <v>554</v>
      </c>
    </row>
    <row r="2" spans="1:14" x14ac:dyDescent="0.3">
      <c r="A2" t="s">
        <v>69</v>
      </c>
      <c r="B2" t="s">
        <v>70</v>
      </c>
      <c r="C2" s="4" t="s">
        <v>312</v>
      </c>
      <c r="D2" t="s">
        <v>10</v>
      </c>
      <c r="E2" t="s">
        <v>11</v>
      </c>
      <c r="F2" t="s">
        <v>12</v>
      </c>
      <c r="G2">
        <v>22111</v>
      </c>
      <c r="H2" t="s">
        <v>13</v>
      </c>
      <c r="I2" t="s">
        <v>14</v>
      </c>
      <c r="J2" t="str">
        <f t="shared" ref="J2:J65" si="0">PROPER(TRIM(I2))</f>
        <v>Credit Card</v>
      </c>
      <c r="K2" t="s">
        <v>15</v>
      </c>
      <c r="L2">
        <f>F2*G2</f>
        <v>22111</v>
      </c>
      <c r="M2" t="str">
        <f t="shared" ref="M2:M65" si="1">IFERROR(MID(C2,4,2),"")</f>
        <v>11</v>
      </c>
    </row>
    <row r="3" spans="1:14" x14ac:dyDescent="0.3">
      <c r="A3" t="s">
        <v>71</v>
      </c>
      <c r="B3" t="s">
        <v>72</v>
      </c>
      <c r="C3" s="4" t="s">
        <v>313</v>
      </c>
      <c r="D3" t="s">
        <v>16</v>
      </c>
      <c r="E3" t="s">
        <v>11</v>
      </c>
      <c r="F3">
        <v>2</v>
      </c>
      <c r="G3">
        <v>68111</v>
      </c>
      <c r="H3" t="s">
        <v>17</v>
      </c>
      <c r="I3" t="s">
        <v>14</v>
      </c>
      <c r="J3" t="str">
        <f t="shared" si="0"/>
        <v>Credit Card</v>
      </c>
      <c r="K3" t="s">
        <v>18</v>
      </c>
      <c r="L3">
        <f t="shared" ref="L3:L65" si="2">F3*G3</f>
        <v>136222</v>
      </c>
      <c r="M3" t="str">
        <f t="shared" si="1"/>
        <v>16</v>
      </c>
    </row>
    <row r="4" spans="1:14" x14ac:dyDescent="0.3">
      <c r="A4" t="s">
        <v>73</v>
      </c>
      <c r="B4" t="s">
        <v>74</v>
      </c>
      <c r="C4" s="4" t="s">
        <v>314</v>
      </c>
      <c r="D4" t="s">
        <v>10</v>
      </c>
      <c r="E4" t="s">
        <v>11</v>
      </c>
      <c r="F4">
        <v>1</v>
      </c>
      <c r="G4">
        <v>15111</v>
      </c>
      <c r="H4" t="s">
        <v>19</v>
      </c>
      <c r="I4" t="s">
        <v>20</v>
      </c>
      <c r="J4" t="str">
        <f t="shared" si="0"/>
        <v>Upi</v>
      </c>
      <c r="K4" t="s">
        <v>21</v>
      </c>
      <c r="L4">
        <f t="shared" si="2"/>
        <v>15111</v>
      </c>
      <c r="M4" t="str">
        <f t="shared" si="1"/>
        <v>11</v>
      </c>
      <c r="N4" s="6"/>
    </row>
    <row r="5" spans="1:14" x14ac:dyDescent="0.3">
      <c r="A5" t="s">
        <v>75</v>
      </c>
      <c r="B5" t="s">
        <v>76</v>
      </c>
      <c r="C5" s="4" t="s">
        <v>315</v>
      </c>
      <c r="D5" t="s">
        <v>22</v>
      </c>
      <c r="E5" t="s">
        <v>23</v>
      </c>
      <c r="F5">
        <v>3</v>
      </c>
      <c r="G5">
        <v>411</v>
      </c>
      <c r="H5" t="s">
        <v>24</v>
      </c>
      <c r="I5" t="s">
        <v>25</v>
      </c>
      <c r="J5" t="str">
        <f t="shared" si="0"/>
        <v>Cash</v>
      </c>
      <c r="K5" t="s">
        <v>21</v>
      </c>
      <c r="L5">
        <f t="shared" si="2"/>
        <v>1233</v>
      </c>
      <c r="M5" t="str">
        <f t="shared" si="1"/>
        <v>12</v>
      </c>
    </row>
    <row r="6" spans="1:14" x14ac:dyDescent="0.3">
      <c r="A6" t="s">
        <v>77</v>
      </c>
      <c r="B6" t="s">
        <v>78</v>
      </c>
      <c r="C6" s="4" t="s">
        <v>316</v>
      </c>
      <c r="D6" t="s">
        <v>26</v>
      </c>
      <c r="E6" t="s">
        <v>11</v>
      </c>
      <c r="F6">
        <v>2</v>
      </c>
      <c r="G6">
        <v>9111</v>
      </c>
      <c r="H6" t="s">
        <v>19</v>
      </c>
      <c r="I6" t="s">
        <v>27</v>
      </c>
      <c r="J6" t="str">
        <f t="shared" si="0"/>
        <v>Debit Card</v>
      </c>
      <c r="K6" t="s">
        <v>21</v>
      </c>
      <c r="L6">
        <f t="shared" si="2"/>
        <v>18222</v>
      </c>
      <c r="M6" t="str">
        <f t="shared" si="1"/>
        <v>13</v>
      </c>
    </row>
    <row r="7" spans="1:14" x14ac:dyDescent="0.3">
      <c r="A7" t="s">
        <v>79</v>
      </c>
      <c r="B7" t="s">
        <v>80</v>
      </c>
      <c r="C7" s="4" t="s">
        <v>317</v>
      </c>
      <c r="D7" t="s">
        <v>28</v>
      </c>
      <c r="E7" t="s">
        <v>23</v>
      </c>
      <c r="F7">
        <v>3</v>
      </c>
      <c r="G7">
        <v>1211</v>
      </c>
      <c r="H7" t="s">
        <v>29</v>
      </c>
      <c r="I7" t="s">
        <v>14</v>
      </c>
      <c r="J7" t="str">
        <f t="shared" si="0"/>
        <v>Credit Card</v>
      </c>
      <c r="K7" t="s">
        <v>21</v>
      </c>
      <c r="L7">
        <f t="shared" si="2"/>
        <v>3633</v>
      </c>
      <c r="M7" t="str">
        <f t="shared" si="1"/>
        <v>11</v>
      </c>
    </row>
    <row r="8" spans="1:14" x14ac:dyDescent="0.3">
      <c r="A8" t="s">
        <v>81</v>
      </c>
      <c r="B8" t="s">
        <v>82</v>
      </c>
      <c r="C8" s="4" t="s">
        <v>318</v>
      </c>
      <c r="D8" t="s">
        <v>30</v>
      </c>
      <c r="E8" t="s">
        <v>31</v>
      </c>
      <c r="F8">
        <v>4</v>
      </c>
      <c r="G8">
        <v>9111</v>
      </c>
      <c r="H8" t="s">
        <v>17</v>
      </c>
      <c r="I8" t="s">
        <v>32</v>
      </c>
      <c r="J8" t="str">
        <f t="shared" si="0"/>
        <v>Net Banking</v>
      </c>
      <c r="K8" t="s">
        <v>18</v>
      </c>
      <c r="L8">
        <f t="shared" si="2"/>
        <v>36444</v>
      </c>
      <c r="M8" t="str">
        <f t="shared" si="1"/>
        <v>17</v>
      </c>
    </row>
    <row r="9" spans="1:14" x14ac:dyDescent="0.3">
      <c r="A9" t="s">
        <v>83</v>
      </c>
      <c r="B9" t="s">
        <v>78</v>
      </c>
      <c r="C9" s="4" t="s">
        <v>314</v>
      </c>
      <c r="D9" t="s">
        <v>10</v>
      </c>
      <c r="E9" t="s">
        <v>11</v>
      </c>
      <c r="F9">
        <v>1</v>
      </c>
      <c r="G9">
        <v>22111</v>
      </c>
      <c r="H9" t="s">
        <v>24</v>
      </c>
      <c r="I9" t="s">
        <v>32</v>
      </c>
      <c r="J9" t="str">
        <f t="shared" si="0"/>
        <v>Net Banking</v>
      </c>
      <c r="K9" t="s">
        <v>15</v>
      </c>
      <c r="L9">
        <f t="shared" si="2"/>
        <v>22111</v>
      </c>
      <c r="M9" t="str">
        <f t="shared" si="1"/>
        <v>11</v>
      </c>
    </row>
    <row r="10" spans="1:14" x14ac:dyDescent="0.3">
      <c r="A10" t="s">
        <v>84</v>
      </c>
      <c r="B10" t="s">
        <v>85</v>
      </c>
      <c r="C10" s="4" t="s">
        <v>319</v>
      </c>
      <c r="D10" t="s">
        <v>33</v>
      </c>
      <c r="E10" t="s">
        <v>11</v>
      </c>
      <c r="F10">
        <v>3</v>
      </c>
      <c r="G10">
        <v>15111</v>
      </c>
      <c r="H10" t="s">
        <v>17</v>
      </c>
      <c r="I10" t="s">
        <v>32</v>
      </c>
      <c r="J10" t="str">
        <f>PROPER(TRIM(I11))</f>
        <v>Debit Card</v>
      </c>
      <c r="K10" t="s">
        <v>15</v>
      </c>
      <c r="L10">
        <f t="shared" si="2"/>
        <v>45333</v>
      </c>
      <c r="M10" t="str">
        <f t="shared" si="1"/>
        <v>19</v>
      </c>
    </row>
    <row r="11" spans="1:14" x14ac:dyDescent="0.3">
      <c r="A11" t="s">
        <v>69</v>
      </c>
      <c r="B11" t="s">
        <v>86</v>
      </c>
      <c r="C11" s="4" t="s">
        <v>320</v>
      </c>
      <c r="D11" t="s">
        <v>22</v>
      </c>
      <c r="E11" t="s">
        <v>23</v>
      </c>
      <c r="F11">
        <v>2</v>
      </c>
      <c r="G11">
        <v>1111</v>
      </c>
      <c r="H11" t="s">
        <v>64</v>
      </c>
      <c r="I11" t="s">
        <v>27</v>
      </c>
      <c r="J11" t="str">
        <f t="shared" si="0"/>
        <v>Debit Card</v>
      </c>
      <c r="K11" t="s">
        <v>15</v>
      </c>
      <c r="L11">
        <f t="shared" si="2"/>
        <v>2222</v>
      </c>
      <c r="M11" t="str">
        <f t="shared" si="1"/>
        <v>11</v>
      </c>
    </row>
    <row r="12" spans="1:14" x14ac:dyDescent="0.3">
      <c r="A12" t="s">
        <v>69</v>
      </c>
      <c r="B12" t="s">
        <v>87</v>
      </c>
      <c r="C12" s="4" t="s">
        <v>321</v>
      </c>
      <c r="D12" t="s">
        <v>16</v>
      </c>
      <c r="E12" t="s">
        <v>11</v>
      </c>
      <c r="F12">
        <v>2</v>
      </c>
      <c r="G12">
        <v>45111</v>
      </c>
      <c r="H12" t="s">
        <v>24</v>
      </c>
      <c r="I12" t="s">
        <v>32</v>
      </c>
      <c r="J12" t="str">
        <f t="shared" si="0"/>
        <v>Net Banking</v>
      </c>
      <c r="K12" t="s">
        <v>21</v>
      </c>
      <c r="L12">
        <f t="shared" si="2"/>
        <v>90222</v>
      </c>
      <c r="M12" t="str">
        <f t="shared" si="1"/>
        <v>11</v>
      </c>
    </row>
    <row r="13" spans="1:14" x14ac:dyDescent="0.3">
      <c r="A13" t="s">
        <v>71</v>
      </c>
      <c r="B13" t="s">
        <v>88</v>
      </c>
      <c r="C13" s="4" t="s">
        <v>322</v>
      </c>
      <c r="D13" t="s">
        <v>34</v>
      </c>
      <c r="E13" t="s">
        <v>11</v>
      </c>
      <c r="F13">
        <v>2</v>
      </c>
      <c r="G13">
        <v>35111</v>
      </c>
      <c r="H13" t="s">
        <v>67</v>
      </c>
      <c r="I13" t="s">
        <v>65</v>
      </c>
      <c r="J13" t="str">
        <f t="shared" si="0"/>
        <v>Unknown</v>
      </c>
      <c r="K13" t="s">
        <v>18</v>
      </c>
      <c r="L13">
        <f t="shared" si="2"/>
        <v>70222</v>
      </c>
      <c r="M13" t="str">
        <f t="shared" si="1"/>
        <v>13</v>
      </c>
    </row>
    <row r="14" spans="1:14" x14ac:dyDescent="0.3">
      <c r="A14" t="s">
        <v>73</v>
      </c>
      <c r="B14" t="s">
        <v>89</v>
      </c>
      <c r="C14" s="4" t="s">
        <v>312</v>
      </c>
      <c r="D14" t="s">
        <v>16</v>
      </c>
      <c r="E14" t="s">
        <v>11</v>
      </c>
      <c r="F14">
        <v>1</v>
      </c>
      <c r="G14">
        <v>52111</v>
      </c>
      <c r="H14" t="s">
        <v>13</v>
      </c>
      <c r="I14" t="s">
        <v>32</v>
      </c>
      <c r="J14" t="str">
        <f t="shared" si="0"/>
        <v>Net Banking</v>
      </c>
      <c r="K14" t="s">
        <v>15</v>
      </c>
      <c r="L14">
        <f t="shared" si="2"/>
        <v>52111</v>
      </c>
      <c r="M14" t="str">
        <f t="shared" si="1"/>
        <v>11</v>
      </c>
    </row>
    <row r="15" spans="1:14" x14ac:dyDescent="0.3">
      <c r="A15" t="s">
        <v>75</v>
      </c>
      <c r="B15" t="s">
        <v>90</v>
      </c>
      <c r="C15" s="4" t="s">
        <v>323</v>
      </c>
      <c r="D15" t="s">
        <v>22</v>
      </c>
      <c r="E15" t="s">
        <v>23</v>
      </c>
      <c r="F15">
        <v>4</v>
      </c>
      <c r="G15">
        <v>711</v>
      </c>
      <c r="H15" t="s">
        <v>19</v>
      </c>
      <c r="I15" t="s">
        <v>27</v>
      </c>
      <c r="J15" t="str">
        <f t="shared" si="0"/>
        <v>Debit Card</v>
      </c>
      <c r="K15" t="s">
        <v>18</v>
      </c>
      <c r="L15">
        <f t="shared" si="2"/>
        <v>2844</v>
      </c>
      <c r="M15" t="str">
        <f t="shared" si="1"/>
        <v>12</v>
      </c>
    </row>
    <row r="16" spans="1:14" x14ac:dyDescent="0.3">
      <c r="A16" t="s">
        <v>77</v>
      </c>
      <c r="B16" t="s">
        <v>91</v>
      </c>
      <c r="C16" s="4" t="s">
        <v>324</v>
      </c>
      <c r="D16" t="s">
        <v>34</v>
      </c>
      <c r="E16" t="s">
        <v>11</v>
      </c>
      <c r="F16">
        <v>4</v>
      </c>
      <c r="G16">
        <v>12111</v>
      </c>
      <c r="H16" t="s">
        <v>35</v>
      </c>
      <c r="I16" t="s">
        <v>14</v>
      </c>
      <c r="J16" t="str">
        <f t="shared" si="0"/>
        <v>Credit Card</v>
      </c>
      <c r="K16" t="s">
        <v>18</v>
      </c>
      <c r="L16">
        <f t="shared" si="2"/>
        <v>48444</v>
      </c>
      <c r="M16" t="str">
        <f t="shared" si="1"/>
        <v>14</v>
      </c>
    </row>
    <row r="17" spans="1:13" x14ac:dyDescent="0.3">
      <c r="A17" t="s">
        <v>79</v>
      </c>
      <c r="B17" t="s">
        <v>92</v>
      </c>
      <c r="C17" s="4" t="s">
        <v>325</v>
      </c>
      <c r="D17" t="s">
        <v>36</v>
      </c>
      <c r="E17" t="s">
        <v>23</v>
      </c>
      <c r="F17">
        <v>3</v>
      </c>
      <c r="G17">
        <v>1211</v>
      </c>
      <c r="H17" t="s">
        <v>67</v>
      </c>
      <c r="I17" t="s">
        <v>14</v>
      </c>
      <c r="J17" t="str">
        <f t="shared" si="0"/>
        <v>Credit Card</v>
      </c>
      <c r="K17" t="s">
        <v>18</v>
      </c>
      <c r="L17">
        <f t="shared" si="2"/>
        <v>3633</v>
      </c>
      <c r="M17" t="str">
        <f t="shared" si="1"/>
        <v>12</v>
      </c>
    </row>
    <row r="18" spans="1:13" x14ac:dyDescent="0.3">
      <c r="A18" t="s">
        <v>81</v>
      </c>
      <c r="B18" t="s">
        <v>93</v>
      </c>
      <c r="C18" s="4" t="s">
        <v>326</v>
      </c>
      <c r="D18" t="s">
        <v>30</v>
      </c>
      <c r="E18" t="s">
        <v>31</v>
      </c>
      <c r="F18">
        <v>4</v>
      </c>
      <c r="G18">
        <v>6511</v>
      </c>
      <c r="H18" t="s">
        <v>19</v>
      </c>
      <c r="I18" t="s">
        <v>32</v>
      </c>
      <c r="J18" t="str">
        <f t="shared" si="0"/>
        <v>Net Banking</v>
      </c>
      <c r="K18" t="s">
        <v>21</v>
      </c>
      <c r="L18">
        <f t="shared" si="2"/>
        <v>26044</v>
      </c>
      <c r="M18" t="str">
        <f t="shared" si="1"/>
        <v>18</v>
      </c>
    </row>
    <row r="19" spans="1:13" x14ac:dyDescent="0.3">
      <c r="A19" t="s">
        <v>83</v>
      </c>
      <c r="B19" t="s">
        <v>94</v>
      </c>
      <c r="C19" s="4" t="s">
        <v>327</v>
      </c>
      <c r="D19" t="s">
        <v>30</v>
      </c>
      <c r="E19" t="s">
        <v>31</v>
      </c>
      <c r="F19">
        <v>2</v>
      </c>
      <c r="G19">
        <v>2511</v>
      </c>
      <c r="H19" t="s">
        <v>35</v>
      </c>
      <c r="I19" t="s">
        <v>32</v>
      </c>
      <c r="J19" t="str">
        <f t="shared" si="0"/>
        <v>Net Banking</v>
      </c>
      <c r="K19" t="s">
        <v>21</v>
      </c>
      <c r="L19">
        <f t="shared" si="2"/>
        <v>5022</v>
      </c>
      <c r="M19" t="str">
        <f t="shared" si="1"/>
        <v>11</v>
      </c>
    </row>
    <row r="20" spans="1:13" x14ac:dyDescent="0.3">
      <c r="A20" t="s">
        <v>84</v>
      </c>
      <c r="B20" t="s">
        <v>88</v>
      </c>
      <c r="C20" s="4" t="s">
        <v>321</v>
      </c>
      <c r="D20" t="s">
        <v>36</v>
      </c>
      <c r="E20" t="s">
        <v>23</v>
      </c>
      <c r="F20">
        <v>1</v>
      </c>
      <c r="G20">
        <v>1211</v>
      </c>
      <c r="H20" t="s">
        <v>37</v>
      </c>
      <c r="I20" t="s">
        <v>32</v>
      </c>
      <c r="J20" t="str">
        <f>PROPER(TRIM(I21))</f>
        <v>Upi</v>
      </c>
      <c r="K20" t="s">
        <v>15</v>
      </c>
      <c r="L20">
        <f t="shared" si="2"/>
        <v>1211</v>
      </c>
      <c r="M20" t="str">
        <f t="shared" si="1"/>
        <v>11</v>
      </c>
    </row>
    <row r="21" spans="1:13" x14ac:dyDescent="0.3">
      <c r="A21" t="s">
        <v>95</v>
      </c>
      <c r="B21" t="s">
        <v>96</v>
      </c>
      <c r="C21" s="4" t="s">
        <v>447</v>
      </c>
      <c r="D21" t="s">
        <v>34</v>
      </c>
      <c r="E21" t="s">
        <v>11</v>
      </c>
      <c r="F21">
        <v>3</v>
      </c>
      <c r="G21">
        <v>18111</v>
      </c>
      <c r="H21" t="s">
        <v>13</v>
      </c>
      <c r="I21" t="s">
        <v>20</v>
      </c>
      <c r="J21" t="str">
        <f t="shared" si="0"/>
        <v>Upi</v>
      </c>
      <c r="K21" t="s">
        <v>18</v>
      </c>
      <c r="L21">
        <f t="shared" si="2"/>
        <v>54333</v>
      </c>
      <c r="M21" t="str">
        <f t="shared" si="1"/>
        <v>21</v>
      </c>
    </row>
    <row r="22" spans="1:13" x14ac:dyDescent="0.3">
      <c r="A22" t="s">
        <v>95</v>
      </c>
      <c r="B22" t="s">
        <v>97</v>
      </c>
      <c r="C22" s="4" t="s">
        <v>328</v>
      </c>
      <c r="D22" t="s">
        <v>10</v>
      </c>
      <c r="E22" t="s">
        <v>11</v>
      </c>
      <c r="F22">
        <v>1</v>
      </c>
      <c r="G22">
        <v>31111</v>
      </c>
      <c r="H22" t="s">
        <v>24</v>
      </c>
      <c r="I22" t="s">
        <v>32</v>
      </c>
      <c r="J22" t="str">
        <f t="shared" si="0"/>
        <v>Net Banking</v>
      </c>
      <c r="K22" t="s">
        <v>65</v>
      </c>
      <c r="L22">
        <f t="shared" si="2"/>
        <v>31111</v>
      </c>
      <c r="M22" t="str">
        <f t="shared" si="1"/>
        <v>13</v>
      </c>
    </row>
    <row r="23" spans="1:13" x14ac:dyDescent="0.3">
      <c r="A23" t="s">
        <v>98</v>
      </c>
      <c r="B23" t="s">
        <v>99</v>
      </c>
      <c r="C23" s="4" t="s">
        <v>329</v>
      </c>
      <c r="D23" t="s">
        <v>16</v>
      </c>
      <c r="E23" t="s">
        <v>11</v>
      </c>
      <c r="F23">
        <v>3</v>
      </c>
      <c r="G23">
        <v>45111</v>
      </c>
      <c r="H23" t="s">
        <v>29</v>
      </c>
      <c r="I23" t="s">
        <v>14</v>
      </c>
      <c r="J23" t="str">
        <f t="shared" si="0"/>
        <v>Credit Card</v>
      </c>
      <c r="K23" t="s">
        <v>21</v>
      </c>
      <c r="L23">
        <f t="shared" si="2"/>
        <v>135333</v>
      </c>
      <c r="M23" t="str">
        <f t="shared" si="1"/>
        <v>11</v>
      </c>
    </row>
    <row r="24" spans="1:13" x14ac:dyDescent="0.3">
      <c r="A24" t="s">
        <v>100</v>
      </c>
      <c r="B24" t="s">
        <v>101</v>
      </c>
      <c r="C24" s="4" t="s">
        <v>330</v>
      </c>
      <c r="D24" t="s">
        <v>22</v>
      </c>
      <c r="E24" t="s">
        <v>23</v>
      </c>
      <c r="F24">
        <v>4</v>
      </c>
      <c r="G24" s="5">
        <v>711</v>
      </c>
      <c r="H24" t="s">
        <v>17</v>
      </c>
      <c r="I24" t="s">
        <v>65</v>
      </c>
      <c r="J24" t="str">
        <f t="shared" si="0"/>
        <v>Unknown</v>
      </c>
      <c r="K24" t="s">
        <v>15</v>
      </c>
      <c r="L24">
        <f t="shared" si="2"/>
        <v>2844</v>
      </c>
      <c r="M24" t="str">
        <f t="shared" si="1"/>
        <v>16</v>
      </c>
    </row>
    <row r="25" spans="1:13" x14ac:dyDescent="0.3">
      <c r="A25" t="s">
        <v>102</v>
      </c>
      <c r="B25" t="s">
        <v>103</v>
      </c>
      <c r="C25" s="4" t="s">
        <v>331</v>
      </c>
      <c r="D25" t="s">
        <v>30</v>
      </c>
      <c r="E25" t="s">
        <v>31</v>
      </c>
      <c r="F25">
        <v>4</v>
      </c>
      <c r="G25">
        <v>4111</v>
      </c>
      <c r="H25" t="s">
        <v>37</v>
      </c>
      <c r="I25" t="s">
        <v>27</v>
      </c>
      <c r="J25" t="str">
        <f t="shared" si="0"/>
        <v>Debit Card</v>
      </c>
      <c r="K25" t="s">
        <v>18</v>
      </c>
      <c r="L25">
        <f t="shared" si="2"/>
        <v>16444</v>
      </c>
      <c r="M25" t="str">
        <f t="shared" si="1"/>
        <v>18</v>
      </c>
    </row>
    <row r="26" spans="1:13" x14ac:dyDescent="0.3">
      <c r="A26" t="s">
        <v>104</v>
      </c>
      <c r="B26" t="s">
        <v>105</v>
      </c>
      <c r="C26" s="4" t="s">
        <v>316</v>
      </c>
      <c r="D26" t="s">
        <v>16</v>
      </c>
      <c r="E26" t="s">
        <v>11</v>
      </c>
      <c r="F26">
        <v>3</v>
      </c>
      <c r="G26">
        <v>52111</v>
      </c>
      <c r="H26" t="s">
        <v>19</v>
      </c>
      <c r="I26" t="s">
        <v>20</v>
      </c>
      <c r="J26" t="str">
        <f t="shared" si="0"/>
        <v>Upi</v>
      </c>
      <c r="K26" t="s">
        <v>15</v>
      </c>
      <c r="L26">
        <f t="shared" si="2"/>
        <v>156333</v>
      </c>
      <c r="M26" t="str">
        <f t="shared" si="1"/>
        <v>13</v>
      </c>
    </row>
    <row r="27" spans="1:13" x14ac:dyDescent="0.3">
      <c r="A27" t="s">
        <v>106</v>
      </c>
      <c r="B27" t="s">
        <v>107</v>
      </c>
      <c r="C27" s="4" t="s">
        <v>332</v>
      </c>
      <c r="D27" t="s">
        <v>26</v>
      </c>
      <c r="E27" t="s">
        <v>11</v>
      </c>
      <c r="F27">
        <v>4</v>
      </c>
      <c r="G27">
        <v>22111</v>
      </c>
      <c r="H27" t="s">
        <v>35</v>
      </c>
      <c r="I27" t="s">
        <v>27</v>
      </c>
      <c r="J27" t="str">
        <f t="shared" si="0"/>
        <v>Debit Card</v>
      </c>
      <c r="K27" t="s">
        <v>18</v>
      </c>
      <c r="L27">
        <f t="shared" si="2"/>
        <v>88444</v>
      </c>
      <c r="M27" t="str">
        <f t="shared" si="1"/>
        <v>14</v>
      </c>
    </row>
    <row r="28" spans="1:13" x14ac:dyDescent="0.3">
      <c r="A28" t="s">
        <v>108</v>
      </c>
      <c r="B28" t="s">
        <v>109</v>
      </c>
      <c r="C28" s="4" t="s">
        <v>333</v>
      </c>
      <c r="D28" t="s">
        <v>28</v>
      </c>
      <c r="E28" t="s">
        <v>23</v>
      </c>
      <c r="F28">
        <v>2</v>
      </c>
      <c r="G28">
        <v>1211</v>
      </c>
      <c r="H28" t="s">
        <v>19</v>
      </c>
      <c r="I28" t="s">
        <v>32</v>
      </c>
      <c r="J28" t="str">
        <f t="shared" si="0"/>
        <v>Net Banking</v>
      </c>
      <c r="K28" t="s">
        <v>18</v>
      </c>
      <c r="L28">
        <f t="shared" si="2"/>
        <v>2422</v>
      </c>
      <c r="M28" t="str">
        <f t="shared" si="1"/>
        <v>11</v>
      </c>
    </row>
    <row r="29" spans="1:13" x14ac:dyDescent="0.3">
      <c r="A29" t="s">
        <v>110</v>
      </c>
      <c r="B29" t="s">
        <v>111</v>
      </c>
      <c r="C29" s="4" t="s">
        <v>334</v>
      </c>
      <c r="D29" t="s">
        <v>16</v>
      </c>
      <c r="E29" t="s">
        <v>11</v>
      </c>
      <c r="F29">
        <v>1</v>
      </c>
      <c r="G29">
        <v>61111</v>
      </c>
      <c r="H29" t="s">
        <v>13</v>
      </c>
      <c r="I29" t="s">
        <v>25</v>
      </c>
      <c r="J29" t="str">
        <f t="shared" si="0"/>
        <v>Cash</v>
      </c>
      <c r="K29" t="s">
        <v>21</v>
      </c>
      <c r="L29">
        <f t="shared" si="2"/>
        <v>61111</v>
      </c>
      <c r="M29" t="str">
        <f t="shared" si="1"/>
        <v>18</v>
      </c>
    </row>
    <row r="30" spans="1:13" x14ac:dyDescent="0.3">
      <c r="A30" t="s">
        <v>112</v>
      </c>
      <c r="B30" t="s">
        <v>113</v>
      </c>
      <c r="C30" s="4" t="s">
        <v>335</v>
      </c>
      <c r="D30" t="s">
        <v>28</v>
      </c>
      <c r="E30" t="s">
        <v>23</v>
      </c>
      <c r="F30">
        <v>0</v>
      </c>
      <c r="G30">
        <v>1811</v>
      </c>
      <c r="H30" t="s">
        <v>29</v>
      </c>
      <c r="I30" t="s">
        <v>32</v>
      </c>
      <c r="J30" t="str">
        <f>PROPER(TRIM(I31))</f>
        <v>Credit Card</v>
      </c>
      <c r="K30" t="s">
        <v>18</v>
      </c>
      <c r="L30">
        <f>F30*G30</f>
        <v>0</v>
      </c>
      <c r="M30" t="str">
        <f t="shared" si="1"/>
        <v>12</v>
      </c>
    </row>
    <row r="31" spans="1:13" x14ac:dyDescent="0.3">
      <c r="A31" t="s">
        <v>114</v>
      </c>
      <c r="B31" t="s">
        <v>113</v>
      </c>
      <c r="C31" s="4" t="s">
        <v>336</v>
      </c>
      <c r="D31" t="s">
        <v>10</v>
      </c>
      <c r="E31" t="s">
        <v>11</v>
      </c>
      <c r="F31">
        <v>3</v>
      </c>
      <c r="G31">
        <v>42111</v>
      </c>
      <c r="H31" t="s">
        <v>19</v>
      </c>
      <c r="I31" t="s">
        <v>14</v>
      </c>
      <c r="J31" t="str">
        <f t="shared" si="0"/>
        <v>Credit Card</v>
      </c>
      <c r="K31" t="s">
        <v>21</v>
      </c>
      <c r="L31">
        <f t="shared" si="2"/>
        <v>126333</v>
      </c>
      <c r="M31" t="str">
        <f t="shared" si="1"/>
        <v>18</v>
      </c>
    </row>
    <row r="32" spans="1:13" x14ac:dyDescent="0.3">
      <c r="A32" t="s">
        <v>114</v>
      </c>
      <c r="B32" t="s">
        <v>115</v>
      </c>
      <c r="C32" s="4" t="s">
        <v>337</v>
      </c>
      <c r="D32" t="s">
        <v>22</v>
      </c>
      <c r="E32" t="s">
        <v>23</v>
      </c>
      <c r="F32">
        <v>4</v>
      </c>
      <c r="G32">
        <v>711</v>
      </c>
      <c r="H32" t="s">
        <v>67</v>
      </c>
      <c r="I32" t="s">
        <v>32</v>
      </c>
      <c r="J32" t="str">
        <f t="shared" si="0"/>
        <v>Net Banking</v>
      </c>
      <c r="K32" t="s">
        <v>18</v>
      </c>
      <c r="L32">
        <f t="shared" si="2"/>
        <v>2844</v>
      </c>
      <c r="M32" t="str">
        <f t="shared" si="1"/>
        <v>18</v>
      </c>
    </row>
    <row r="33" spans="1:13" x14ac:dyDescent="0.3">
      <c r="A33" t="s">
        <v>116</v>
      </c>
      <c r="B33" t="s">
        <v>70</v>
      </c>
      <c r="C33" s="4" t="s">
        <v>338</v>
      </c>
      <c r="D33" t="s">
        <v>36</v>
      </c>
      <c r="E33" t="s">
        <v>23</v>
      </c>
      <c r="F33">
        <v>1</v>
      </c>
      <c r="G33">
        <v>1211</v>
      </c>
      <c r="H33" t="s">
        <v>37</v>
      </c>
      <c r="I33" t="s">
        <v>14</v>
      </c>
      <c r="J33" t="str">
        <f t="shared" si="0"/>
        <v>Credit Card</v>
      </c>
      <c r="K33" t="s">
        <v>18</v>
      </c>
      <c r="L33">
        <f t="shared" si="2"/>
        <v>1211</v>
      </c>
      <c r="M33" t="str">
        <f t="shared" si="1"/>
        <v>13</v>
      </c>
    </row>
    <row r="34" spans="1:13" x14ac:dyDescent="0.3">
      <c r="A34" t="s">
        <v>117</v>
      </c>
      <c r="B34" t="s">
        <v>118</v>
      </c>
      <c r="C34" s="4" t="s">
        <v>339</v>
      </c>
      <c r="D34" t="s">
        <v>10</v>
      </c>
      <c r="E34" t="s">
        <v>11</v>
      </c>
      <c r="F34">
        <v>4</v>
      </c>
      <c r="G34">
        <v>22111</v>
      </c>
      <c r="H34" t="s">
        <v>19</v>
      </c>
      <c r="I34" t="s">
        <v>14</v>
      </c>
      <c r="J34" t="str">
        <f t="shared" si="0"/>
        <v>Credit Card</v>
      </c>
      <c r="K34" t="s">
        <v>15</v>
      </c>
      <c r="L34">
        <f t="shared" si="2"/>
        <v>88444</v>
      </c>
      <c r="M34" t="str">
        <f t="shared" si="1"/>
        <v>12</v>
      </c>
    </row>
    <row r="35" spans="1:13" x14ac:dyDescent="0.3">
      <c r="A35" t="s">
        <v>119</v>
      </c>
      <c r="B35" t="s">
        <v>120</v>
      </c>
      <c r="C35" s="4" t="s">
        <v>317</v>
      </c>
      <c r="D35" t="s">
        <v>30</v>
      </c>
      <c r="E35" t="s">
        <v>31</v>
      </c>
      <c r="F35">
        <v>1</v>
      </c>
      <c r="G35">
        <v>9111</v>
      </c>
      <c r="H35" t="s">
        <v>17</v>
      </c>
      <c r="I35" t="s">
        <v>25</v>
      </c>
      <c r="J35" t="str">
        <f t="shared" si="0"/>
        <v>Cash</v>
      </c>
      <c r="K35" t="s">
        <v>18</v>
      </c>
      <c r="L35">
        <f t="shared" si="2"/>
        <v>9111</v>
      </c>
      <c r="M35" t="str">
        <f t="shared" si="1"/>
        <v>11</v>
      </c>
    </row>
    <row r="36" spans="1:13" x14ac:dyDescent="0.3">
      <c r="A36" t="s">
        <v>121</v>
      </c>
      <c r="B36" t="s">
        <v>89</v>
      </c>
      <c r="C36" s="4" t="s">
        <v>340</v>
      </c>
      <c r="D36" t="s">
        <v>22</v>
      </c>
      <c r="E36" t="s">
        <v>23</v>
      </c>
      <c r="F36">
        <v>2</v>
      </c>
      <c r="G36">
        <v>711</v>
      </c>
      <c r="H36" t="s">
        <v>29</v>
      </c>
      <c r="I36" t="s">
        <v>32</v>
      </c>
      <c r="J36" t="str">
        <f t="shared" si="0"/>
        <v>Net Banking</v>
      </c>
      <c r="K36" t="s">
        <v>15</v>
      </c>
      <c r="L36">
        <f t="shared" si="2"/>
        <v>1422</v>
      </c>
      <c r="M36" t="str">
        <f t="shared" si="1"/>
        <v>15</v>
      </c>
    </row>
    <row r="37" spans="1:13" x14ac:dyDescent="0.3">
      <c r="A37" t="s">
        <v>122</v>
      </c>
      <c r="B37" t="s">
        <v>123</v>
      </c>
      <c r="C37" s="4" t="s">
        <v>341</v>
      </c>
      <c r="D37" t="s">
        <v>36</v>
      </c>
      <c r="E37" t="s">
        <v>23</v>
      </c>
      <c r="F37">
        <v>2</v>
      </c>
      <c r="G37">
        <v>1811</v>
      </c>
      <c r="H37" t="s">
        <v>35</v>
      </c>
      <c r="I37" t="s">
        <v>25</v>
      </c>
      <c r="J37" t="str">
        <f t="shared" si="0"/>
        <v>Cash</v>
      </c>
      <c r="K37" t="s">
        <v>15</v>
      </c>
      <c r="L37">
        <f t="shared" si="2"/>
        <v>3622</v>
      </c>
      <c r="M37" t="str">
        <f t="shared" si="1"/>
        <v>16</v>
      </c>
    </row>
    <row r="38" spans="1:13" x14ac:dyDescent="0.3">
      <c r="A38" t="s">
        <v>124</v>
      </c>
      <c r="B38" t="s">
        <v>125</v>
      </c>
      <c r="C38" s="4" t="s">
        <v>342</v>
      </c>
      <c r="D38" t="s">
        <v>28</v>
      </c>
      <c r="E38" t="s">
        <v>23</v>
      </c>
      <c r="F38">
        <v>4</v>
      </c>
      <c r="G38">
        <v>1211</v>
      </c>
      <c r="H38" t="s">
        <v>67</v>
      </c>
      <c r="I38" t="s">
        <v>25</v>
      </c>
      <c r="J38" t="str">
        <f t="shared" si="0"/>
        <v>Cash</v>
      </c>
      <c r="K38" t="s">
        <v>15</v>
      </c>
      <c r="L38">
        <f t="shared" si="2"/>
        <v>4844</v>
      </c>
      <c r="M38" t="str">
        <f t="shared" si="1"/>
        <v>18</v>
      </c>
    </row>
    <row r="39" spans="1:13" x14ac:dyDescent="0.3">
      <c r="A39" t="s">
        <v>126</v>
      </c>
      <c r="B39" t="s">
        <v>127</v>
      </c>
      <c r="C39" s="4" t="s">
        <v>338</v>
      </c>
      <c r="D39" t="s">
        <v>22</v>
      </c>
      <c r="E39" t="s">
        <v>23</v>
      </c>
      <c r="F39">
        <v>4</v>
      </c>
      <c r="G39">
        <v>1111</v>
      </c>
      <c r="H39" t="s">
        <v>37</v>
      </c>
      <c r="I39" t="s">
        <v>25</v>
      </c>
      <c r="J39" t="str">
        <f t="shared" si="0"/>
        <v>Cash</v>
      </c>
      <c r="K39" t="s">
        <v>21</v>
      </c>
      <c r="L39">
        <f t="shared" si="2"/>
        <v>4444</v>
      </c>
      <c r="M39" t="str">
        <f t="shared" si="1"/>
        <v>13</v>
      </c>
    </row>
    <row r="40" spans="1:13" x14ac:dyDescent="0.3">
      <c r="A40" t="s">
        <v>128</v>
      </c>
      <c r="B40" t="s">
        <v>129</v>
      </c>
      <c r="C40" s="4" t="s">
        <v>324</v>
      </c>
      <c r="D40" t="s">
        <v>16</v>
      </c>
      <c r="E40" t="s">
        <v>11</v>
      </c>
      <c r="F40">
        <v>1</v>
      </c>
      <c r="G40">
        <v>68111</v>
      </c>
      <c r="H40" t="s">
        <v>29</v>
      </c>
      <c r="I40" t="s">
        <v>27</v>
      </c>
      <c r="J40" t="str">
        <f>PROPER(TRIM(I41))</f>
        <v>Upi</v>
      </c>
      <c r="K40" t="s">
        <v>18</v>
      </c>
      <c r="L40">
        <f t="shared" si="2"/>
        <v>68111</v>
      </c>
      <c r="M40" t="str">
        <f t="shared" si="1"/>
        <v>14</v>
      </c>
    </row>
    <row r="41" spans="1:13" x14ac:dyDescent="0.3">
      <c r="A41" t="s">
        <v>130</v>
      </c>
      <c r="B41" t="s">
        <v>131</v>
      </c>
      <c r="C41" s="4" t="s">
        <v>343</v>
      </c>
      <c r="D41" t="s">
        <v>22</v>
      </c>
      <c r="E41" t="s">
        <v>23</v>
      </c>
      <c r="F41">
        <v>4</v>
      </c>
      <c r="G41">
        <v>1111</v>
      </c>
      <c r="H41" t="s">
        <v>37</v>
      </c>
      <c r="I41" t="s">
        <v>20</v>
      </c>
      <c r="J41" t="str">
        <f t="shared" si="0"/>
        <v>Upi</v>
      </c>
      <c r="K41" t="s">
        <v>15</v>
      </c>
      <c r="L41">
        <f t="shared" si="2"/>
        <v>4444</v>
      </c>
      <c r="M41" t="str">
        <f t="shared" si="1"/>
        <v>11</v>
      </c>
    </row>
    <row r="42" spans="1:13" x14ac:dyDescent="0.3">
      <c r="A42" t="s">
        <v>130</v>
      </c>
      <c r="B42" t="s">
        <v>132</v>
      </c>
      <c r="C42" s="4" t="s">
        <v>344</v>
      </c>
      <c r="D42" t="s">
        <v>28</v>
      </c>
      <c r="E42" t="s">
        <v>23</v>
      </c>
      <c r="F42">
        <v>1</v>
      </c>
      <c r="G42">
        <v>1211</v>
      </c>
      <c r="H42" t="s">
        <v>29</v>
      </c>
      <c r="I42" t="s">
        <v>14</v>
      </c>
      <c r="J42" t="str">
        <f t="shared" si="0"/>
        <v>Credit Card</v>
      </c>
      <c r="K42" t="s">
        <v>21</v>
      </c>
      <c r="L42">
        <f t="shared" si="2"/>
        <v>1211</v>
      </c>
      <c r="M42" t="str">
        <f t="shared" si="1"/>
        <v>12</v>
      </c>
    </row>
    <row r="43" spans="1:13" x14ac:dyDescent="0.3">
      <c r="A43" t="s">
        <v>133</v>
      </c>
      <c r="B43" t="s">
        <v>134</v>
      </c>
      <c r="C43" s="4" t="s">
        <v>345</v>
      </c>
      <c r="D43" t="s">
        <v>10</v>
      </c>
      <c r="E43" t="s">
        <v>11</v>
      </c>
      <c r="F43">
        <v>2</v>
      </c>
      <c r="G43">
        <v>15111</v>
      </c>
      <c r="H43" t="s">
        <v>67</v>
      </c>
      <c r="I43" t="s">
        <v>20</v>
      </c>
      <c r="J43" t="str">
        <f t="shared" si="0"/>
        <v>Upi</v>
      </c>
      <c r="K43" t="s">
        <v>21</v>
      </c>
      <c r="L43">
        <f t="shared" si="2"/>
        <v>30222</v>
      </c>
      <c r="M43" t="str">
        <f t="shared" si="1"/>
        <v>12</v>
      </c>
    </row>
    <row r="44" spans="1:13" x14ac:dyDescent="0.3">
      <c r="A44" t="s">
        <v>135</v>
      </c>
      <c r="B44" t="s">
        <v>136</v>
      </c>
      <c r="C44" s="4" t="s">
        <v>336</v>
      </c>
      <c r="D44" t="s">
        <v>22</v>
      </c>
      <c r="E44" t="s">
        <v>23</v>
      </c>
      <c r="F44">
        <v>1</v>
      </c>
      <c r="G44">
        <v>711</v>
      </c>
      <c r="H44" t="s">
        <v>13</v>
      </c>
      <c r="I44" t="s">
        <v>25</v>
      </c>
      <c r="J44" t="str">
        <f t="shared" si="0"/>
        <v>Cash</v>
      </c>
      <c r="K44" t="s">
        <v>18</v>
      </c>
      <c r="L44">
        <f t="shared" si="2"/>
        <v>711</v>
      </c>
      <c r="M44" t="str">
        <f t="shared" si="1"/>
        <v>18</v>
      </c>
    </row>
    <row r="45" spans="1:13" x14ac:dyDescent="0.3">
      <c r="A45" t="s">
        <v>137</v>
      </c>
      <c r="B45" t="s">
        <v>138</v>
      </c>
      <c r="C45" s="4" t="s">
        <v>346</v>
      </c>
      <c r="D45" t="s">
        <v>30</v>
      </c>
      <c r="E45" t="s">
        <v>31</v>
      </c>
      <c r="F45">
        <v>2</v>
      </c>
      <c r="G45">
        <v>9111</v>
      </c>
      <c r="H45" t="s">
        <v>64</v>
      </c>
      <c r="I45" t="s">
        <v>14</v>
      </c>
      <c r="J45" t="str">
        <f t="shared" si="0"/>
        <v>Credit Card</v>
      </c>
      <c r="K45" t="s">
        <v>15</v>
      </c>
      <c r="L45">
        <f t="shared" si="2"/>
        <v>18222</v>
      </c>
      <c r="M45" t="str">
        <f t="shared" si="1"/>
        <v>11</v>
      </c>
    </row>
    <row r="46" spans="1:13" x14ac:dyDescent="0.3">
      <c r="A46" t="s">
        <v>139</v>
      </c>
      <c r="B46" t="s">
        <v>140</v>
      </c>
      <c r="C46" s="4" t="s">
        <v>347</v>
      </c>
      <c r="D46" t="s">
        <v>22</v>
      </c>
      <c r="E46" t="s">
        <v>23</v>
      </c>
      <c r="F46">
        <v>4</v>
      </c>
      <c r="G46">
        <v>411</v>
      </c>
      <c r="H46" t="s">
        <v>29</v>
      </c>
      <c r="I46" t="s">
        <v>27</v>
      </c>
      <c r="J46" t="str">
        <f t="shared" si="0"/>
        <v>Debit Card</v>
      </c>
      <c r="K46" t="s">
        <v>18</v>
      </c>
      <c r="L46">
        <f t="shared" si="2"/>
        <v>1644</v>
      </c>
      <c r="M46" t="str">
        <f t="shared" si="1"/>
        <v>19</v>
      </c>
    </row>
    <row r="47" spans="1:13" x14ac:dyDescent="0.3">
      <c r="A47" t="s">
        <v>141</v>
      </c>
      <c r="B47" t="s">
        <v>78</v>
      </c>
      <c r="C47" s="4" t="s">
        <v>315</v>
      </c>
      <c r="D47" t="s">
        <v>22</v>
      </c>
      <c r="E47" t="s">
        <v>23</v>
      </c>
      <c r="F47">
        <v>3</v>
      </c>
      <c r="G47">
        <v>1111</v>
      </c>
      <c r="H47" t="s">
        <v>35</v>
      </c>
      <c r="I47" t="s">
        <v>25</v>
      </c>
      <c r="J47" t="str">
        <f t="shared" si="0"/>
        <v>Cash</v>
      </c>
      <c r="K47" t="s">
        <v>15</v>
      </c>
      <c r="L47">
        <f t="shared" si="2"/>
        <v>3333</v>
      </c>
      <c r="M47" t="str">
        <f t="shared" si="1"/>
        <v>12</v>
      </c>
    </row>
    <row r="48" spans="1:13" x14ac:dyDescent="0.3">
      <c r="A48" t="s">
        <v>142</v>
      </c>
      <c r="B48" t="s">
        <v>143</v>
      </c>
      <c r="C48" s="4" t="s">
        <v>348</v>
      </c>
      <c r="D48" t="s">
        <v>10</v>
      </c>
      <c r="E48" t="s">
        <v>11</v>
      </c>
      <c r="F48">
        <v>3</v>
      </c>
      <c r="G48">
        <v>42111</v>
      </c>
      <c r="H48" t="s">
        <v>29</v>
      </c>
      <c r="I48" t="s">
        <v>27</v>
      </c>
      <c r="J48" t="str">
        <f t="shared" si="0"/>
        <v>Debit Card</v>
      </c>
      <c r="K48" t="s">
        <v>21</v>
      </c>
      <c r="L48">
        <f t="shared" si="2"/>
        <v>126333</v>
      </c>
      <c r="M48" t="str">
        <f t="shared" si="1"/>
        <v>18</v>
      </c>
    </row>
    <row r="49" spans="1:13" x14ac:dyDescent="0.3">
      <c r="A49" t="s">
        <v>144</v>
      </c>
      <c r="B49" t="s">
        <v>85</v>
      </c>
      <c r="C49" s="4" t="s">
        <v>314</v>
      </c>
      <c r="D49" t="s">
        <v>30</v>
      </c>
      <c r="E49" t="s">
        <v>31</v>
      </c>
      <c r="F49">
        <v>3</v>
      </c>
      <c r="G49">
        <v>2511</v>
      </c>
      <c r="H49" t="s">
        <v>17</v>
      </c>
      <c r="I49" t="s">
        <v>14</v>
      </c>
      <c r="J49" t="str">
        <f t="shared" si="0"/>
        <v>Credit Card</v>
      </c>
      <c r="K49" t="s">
        <v>15</v>
      </c>
      <c r="L49">
        <f t="shared" si="2"/>
        <v>7533</v>
      </c>
      <c r="M49" t="str">
        <f t="shared" si="1"/>
        <v>11</v>
      </c>
    </row>
    <row r="50" spans="1:13" x14ac:dyDescent="0.3">
      <c r="A50" t="s">
        <v>145</v>
      </c>
      <c r="B50" t="s">
        <v>146</v>
      </c>
      <c r="C50" s="4" t="s">
        <v>317</v>
      </c>
      <c r="D50" t="s">
        <v>30</v>
      </c>
      <c r="E50" t="s">
        <v>31</v>
      </c>
      <c r="F50">
        <v>3</v>
      </c>
      <c r="G50">
        <v>6511</v>
      </c>
      <c r="H50" t="s">
        <v>17</v>
      </c>
      <c r="I50" t="s">
        <v>27</v>
      </c>
      <c r="J50" t="str">
        <f>PROPER(TRIM(I51))</f>
        <v>Upi</v>
      </c>
      <c r="K50" t="s">
        <v>15</v>
      </c>
      <c r="L50">
        <f t="shared" si="2"/>
        <v>19533</v>
      </c>
      <c r="M50" t="str">
        <f t="shared" si="1"/>
        <v>11</v>
      </c>
    </row>
    <row r="51" spans="1:13" x14ac:dyDescent="0.3">
      <c r="A51" t="s">
        <v>147</v>
      </c>
      <c r="B51" t="s">
        <v>148</v>
      </c>
      <c r="C51" s="4" t="s">
        <v>336</v>
      </c>
      <c r="D51" t="s">
        <v>16</v>
      </c>
      <c r="E51" t="s">
        <v>11</v>
      </c>
      <c r="F51">
        <v>3</v>
      </c>
      <c r="G51">
        <v>52111</v>
      </c>
      <c r="H51" t="s">
        <v>17</v>
      </c>
      <c r="I51" t="s">
        <v>20</v>
      </c>
      <c r="J51" t="str">
        <f t="shared" si="0"/>
        <v>Upi</v>
      </c>
      <c r="K51" t="s">
        <v>18</v>
      </c>
      <c r="L51">
        <f t="shared" si="2"/>
        <v>156333</v>
      </c>
      <c r="M51" t="str">
        <f t="shared" si="1"/>
        <v>18</v>
      </c>
    </row>
    <row r="52" spans="1:13" x14ac:dyDescent="0.3">
      <c r="A52" t="s">
        <v>147</v>
      </c>
      <c r="B52" t="s">
        <v>149</v>
      </c>
      <c r="C52" s="4" t="s">
        <v>329</v>
      </c>
      <c r="D52" t="s">
        <v>30</v>
      </c>
      <c r="E52" t="s">
        <v>31</v>
      </c>
      <c r="F52">
        <v>1</v>
      </c>
      <c r="G52">
        <v>4111</v>
      </c>
      <c r="H52" t="s">
        <v>13</v>
      </c>
      <c r="I52" t="s">
        <v>14</v>
      </c>
      <c r="J52" t="str">
        <f t="shared" si="0"/>
        <v>Credit Card</v>
      </c>
      <c r="K52" t="s">
        <v>15</v>
      </c>
      <c r="L52">
        <f t="shared" si="2"/>
        <v>4111</v>
      </c>
      <c r="M52" t="str">
        <f t="shared" si="1"/>
        <v>11</v>
      </c>
    </row>
    <row r="53" spans="1:13" x14ac:dyDescent="0.3">
      <c r="A53" t="s">
        <v>150</v>
      </c>
      <c r="B53" t="s">
        <v>151</v>
      </c>
      <c r="C53" s="4" t="s">
        <v>321</v>
      </c>
      <c r="D53" t="s">
        <v>34</v>
      </c>
      <c r="E53" t="s">
        <v>11</v>
      </c>
      <c r="F53">
        <v>2</v>
      </c>
      <c r="G53">
        <v>25111</v>
      </c>
      <c r="H53" t="s">
        <v>13</v>
      </c>
      <c r="I53" t="s">
        <v>14</v>
      </c>
      <c r="J53" t="str">
        <f t="shared" si="0"/>
        <v>Credit Card</v>
      </c>
      <c r="K53" t="s">
        <v>21</v>
      </c>
      <c r="L53">
        <f t="shared" si="2"/>
        <v>50222</v>
      </c>
      <c r="M53" t="str">
        <f t="shared" si="1"/>
        <v>11</v>
      </c>
    </row>
    <row r="54" spans="1:13" x14ac:dyDescent="0.3">
      <c r="A54" t="s">
        <v>152</v>
      </c>
      <c r="B54" t="s">
        <v>120</v>
      </c>
      <c r="C54" s="4" t="s">
        <v>349</v>
      </c>
      <c r="D54" t="s">
        <v>28</v>
      </c>
      <c r="E54" t="s">
        <v>23</v>
      </c>
      <c r="F54">
        <v>3</v>
      </c>
      <c r="G54">
        <v>711</v>
      </c>
      <c r="H54" t="s">
        <v>35</v>
      </c>
      <c r="I54" t="s">
        <v>27</v>
      </c>
      <c r="J54" t="str">
        <f t="shared" si="0"/>
        <v>Debit Card</v>
      </c>
      <c r="K54" t="s">
        <v>15</v>
      </c>
      <c r="L54">
        <f t="shared" si="2"/>
        <v>2133</v>
      </c>
      <c r="M54" t="str">
        <f t="shared" si="1"/>
        <v>17</v>
      </c>
    </row>
    <row r="55" spans="1:13" x14ac:dyDescent="0.3">
      <c r="A55" t="s">
        <v>153</v>
      </c>
      <c r="B55" t="s">
        <v>123</v>
      </c>
      <c r="C55" s="4" t="s">
        <v>350</v>
      </c>
      <c r="D55" t="s">
        <v>28</v>
      </c>
      <c r="E55" t="s">
        <v>23</v>
      </c>
      <c r="F55">
        <v>3</v>
      </c>
      <c r="G55">
        <v>1811</v>
      </c>
      <c r="H55" t="s">
        <v>67</v>
      </c>
      <c r="I55" t="s">
        <v>14</v>
      </c>
      <c r="J55" t="str">
        <f t="shared" si="0"/>
        <v>Credit Card</v>
      </c>
      <c r="K55" t="s">
        <v>18</v>
      </c>
      <c r="L55">
        <f t="shared" si="2"/>
        <v>5433</v>
      </c>
      <c r="M55" t="str">
        <f t="shared" si="1"/>
        <v>12</v>
      </c>
    </row>
    <row r="56" spans="1:13" x14ac:dyDescent="0.3">
      <c r="A56" t="s">
        <v>154</v>
      </c>
      <c r="B56" t="s">
        <v>155</v>
      </c>
      <c r="C56" s="4" t="s">
        <v>351</v>
      </c>
      <c r="D56" t="s">
        <v>36</v>
      </c>
      <c r="E56" t="s">
        <v>23</v>
      </c>
      <c r="F56">
        <v>1</v>
      </c>
      <c r="G56">
        <v>2511</v>
      </c>
      <c r="H56" t="s">
        <v>24</v>
      </c>
      <c r="I56" t="s">
        <v>25</v>
      </c>
      <c r="J56" t="str">
        <f t="shared" si="0"/>
        <v>Cash</v>
      </c>
      <c r="K56" t="s">
        <v>18</v>
      </c>
      <c r="L56">
        <f t="shared" si="2"/>
        <v>2511</v>
      </c>
      <c r="M56" t="str">
        <f t="shared" si="1"/>
        <v>18</v>
      </c>
    </row>
    <row r="57" spans="1:13" x14ac:dyDescent="0.3">
      <c r="A57" t="s">
        <v>156</v>
      </c>
      <c r="B57" t="s">
        <v>115</v>
      </c>
      <c r="C57" s="4" t="s">
        <v>352</v>
      </c>
      <c r="D57" t="s">
        <v>10</v>
      </c>
      <c r="E57" t="s">
        <v>31</v>
      </c>
      <c r="F57">
        <v>4</v>
      </c>
      <c r="G57">
        <v>2511</v>
      </c>
      <c r="H57" t="s">
        <v>37</v>
      </c>
      <c r="I57" t="s">
        <v>27</v>
      </c>
      <c r="J57" t="str">
        <f t="shared" si="0"/>
        <v>Debit Card</v>
      </c>
      <c r="K57" t="s">
        <v>21</v>
      </c>
      <c r="L57">
        <f t="shared" si="2"/>
        <v>10044</v>
      </c>
      <c r="M57" t="str">
        <f t="shared" si="1"/>
        <v>14</v>
      </c>
    </row>
    <row r="58" spans="1:13" x14ac:dyDescent="0.3">
      <c r="A58" t="s">
        <v>157</v>
      </c>
      <c r="B58" t="s">
        <v>158</v>
      </c>
      <c r="C58" s="4" t="s">
        <v>353</v>
      </c>
      <c r="D58" t="s">
        <v>16</v>
      </c>
      <c r="E58" t="s">
        <v>11</v>
      </c>
      <c r="F58">
        <v>2</v>
      </c>
      <c r="G58">
        <v>68111</v>
      </c>
      <c r="H58" t="s">
        <v>19</v>
      </c>
      <c r="I58" t="s">
        <v>27</v>
      </c>
      <c r="J58" t="str">
        <f t="shared" si="0"/>
        <v>Debit Card</v>
      </c>
      <c r="K58" t="s">
        <v>18</v>
      </c>
      <c r="L58">
        <f t="shared" si="2"/>
        <v>136222</v>
      </c>
      <c r="M58" t="str">
        <f t="shared" si="1"/>
        <v>18</v>
      </c>
    </row>
    <row r="59" spans="1:13" x14ac:dyDescent="0.3">
      <c r="A59" t="s">
        <v>159</v>
      </c>
      <c r="B59" t="s">
        <v>96</v>
      </c>
      <c r="C59" s="4" t="s">
        <v>335</v>
      </c>
      <c r="D59" t="s">
        <v>10</v>
      </c>
      <c r="E59" t="s">
        <v>11</v>
      </c>
      <c r="F59">
        <v>1</v>
      </c>
      <c r="G59">
        <v>42111</v>
      </c>
      <c r="H59" t="s">
        <v>24</v>
      </c>
      <c r="I59" t="s">
        <v>27</v>
      </c>
      <c r="J59" t="str">
        <f t="shared" si="0"/>
        <v>Debit Card</v>
      </c>
      <c r="K59" t="s">
        <v>15</v>
      </c>
      <c r="L59">
        <f t="shared" si="2"/>
        <v>42111</v>
      </c>
      <c r="M59" t="str">
        <f t="shared" si="1"/>
        <v>12</v>
      </c>
    </row>
    <row r="60" spans="1:13" x14ac:dyDescent="0.3">
      <c r="A60" t="s">
        <v>160</v>
      </c>
      <c r="B60" t="s">
        <v>99</v>
      </c>
      <c r="C60" s="4" t="s">
        <v>354</v>
      </c>
      <c r="D60" t="s">
        <v>34</v>
      </c>
      <c r="E60" t="s">
        <v>11</v>
      </c>
      <c r="F60">
        <v>1</v>
      </c>
      <c r="G60">
        <v>35111</v>
      </c>
      <c r="H60" t="s">
        <v>65</v>
      </c>
      <c r="I60" t="s">
        <v>32</v>
      </c>
      <c r="J60" t="str">
        <f>PROPER(TRIM(I61))</f>
        <v>Upi</v>
      </c>
      <c r="K60" t="s">
        <v>15</v>
      </c>
      <c r="L60">
        <f t="shared" si="2"/>
        <v>35111</v>
      </c>
      <c r="M60" t="str">
        <f t="shared" si="1"/>
        <v>11</v>
      </c>
    </row>
    <row r="61" spans="1:13" x14ac:dyDescent="0.3">
      <c r="A61" t="s">
        <v>161</v>
      </c>
      <c r="B61" t="s">
        <v>162</v>
      </c>
      <c r="C61" s="4" t="s">
        <v>320</v>
      </c>
      <c r="D61" t="s">
        <v>22</v>
      </c>
      <c r="E61" t="s">
        <v>23</v>
      </c>
      <c r="F61">
        <v>4</v>
      </c>
      <c r="G61">
        <v>1111</v>
      </c>
      <c r="H61" t="s">
        <v>19</v>
      </c>
      <c r="I61" t="s">
        <v>20</v>
      </c>
      <c r="J61" t="str">
        <f t="shared" si="0"/>
        <v>Upi</v>
      </c>
      <c r="K61" t="s">
        <v>15</v>
      </c>
      <c r="L61">
        <f t="shared" si="2"/>
        <v>4444</v>
      </c>
      <c r="M61" t="str">
        <f t="shared" si="1"/>
        <v>11</v>
      </c>
    </row>
    <row r="62" spans="1:13" x14ac:dyDescent="0.3">
      <c r="A62" t="s">
        <v>161</v>
      </c>
      <c r="B62" t="s">
        <v>88</v>
      </c>
      <c r="C62" s="4" t="s">
        <v>448</v>
      </c>
      <c r="D62" t="s">
        <v>10</v>
      </c>
      <c r="E62" t="s">
        <v>11</v>
      </c>
      <c r="F62">
        <v>4</v>
      </c>
      <c r="G62">
        <v>22111</v>
      </c>
      <c r="H62" t="s">
        <v>65</v>
      </c>
      <c r="I62" t="s">
        <v>32</v>
      </c>
      <c r="J62" t="str">
        <f t="shared" si="0"/>
        <v>Net Banking</v>
      </c>
      <c r="K62" t="s">
        <v>15</v>
      </c>
      <c r="L62">
        <f t="shared" si="2"/>
        <v>88444</v>
      </c>
      <c r="M62" t="str">
        <f t="shared" si="1"/>
        <v>25</v>
      </c>
    </row>
    <row r="63" spans="1:13" x14ac:dyDescent="0.3">
      <c r="A63" t="s">
        <v>163</v>
      </c>
      <c r="B63" t="s">
        <v>134</v>
      </c>
      <c r="C63" s="4" t="s">
        <v>355</v>
      </c>
      <c r="D63" t="s">
        <v>34</v>
      </c>
      <c r="E63" t="s">
        <v>11</v>
      </c>
      <c r="F63">
        <v>2</v>
      </c>
      <c r="G63">
        <v>12111</v>
      </c>
      <c r="H63" t="s">
        <v>35</v>
      </c>
      <c r="I63" t="s">
        <v>14</v>
      </c>
      <c r="J63" t="str">
        <f t="shared" si="0"/>
        <v>Credit Card</v>
      </c>
      <c r="K63" t="s">
        <v>18</v>
      </c>
      <c r="L63">
        <f t="shared" si="2"/>
        <v>24222</v>
      </c>
      <c r="M63" t="str">
        <f t="shared" si="1"/>
        <v>16</v>
      </c>
    </row>
    <row r="64" spans="1:13" x14ac:dyDescent="0.3">
      <c r="A64" t="s">
        <v>164</v>
      </c>
      <c r="B64" t="s">
        <v>74</v>
      </c>
      <c r="C64" s="4" t="s">
        <v>356</v>
      </c>
      <c r="D64" t="s">
        <v>30</v>
      </c>
      <c r="E64" t="s">
        <v>31</v>
      </c>
      <c r="F64">
        <v>3</v>
      </c>
      <c r="G64">
        <v>4111</v>
      </c>
      <c r="H64" t="s">
        <v>29</v>
      </c>
      <c r="I64" t="s">
        <v>25</v>
      </c>
      <c r="J64" t="str">
        <f t="shared" si="0"/>
        <v>Cash</v>
      </c>
      <c r="K64" t="s">
        <v>21</v>
      </c>
      <c r="L64">
        <f t="shared" si="2"/>
        <v>12333</v>
      </c>
      <c r="M64" t="str">
        <f t="shared" si="1"/>
        <v>17</v>
      </c>
    </row>
    <row r="65" spans="1:13" x14ac:dyDescent="0.3">
      <c r="A65" t="s">
        <v>165</v>
      </c>
      <c r="B65" t="s">
        <v>166</v>
      </c>
      <c r="C65" s="4" t="s">
        <v>315</v>
      </c>
      <c r="D65" t="s">
        <v>34</v>
      </c>
      <c r="E65" t="s">
        <v>11</v>
      </c>
      <c r="F65">
        <v>4</v>
      </c>
      <c r="G65">
        <v>12111</v>
      </c>
      <c r="H65" t="s">
        <v>35</v>
      </c>
      <c r="I65" t="s">
        <v>20</v>
      </c>
      <c r="J65" t="str">
        <f t="shared" si="0"/>
        <v>Upi</v>
      </c>
      <c r="K65" t="s">
        <v>21</v>
      </c>
      <c r="L65">
        <f t="shared" si="2"/>
        <v>48444</v>
      </c>
      <c r="M65" t="str">
        <f t="shared" si="1"/>
        <v>12</v>
      </c>
    </row>
    <row r="66" spans="1:13" x14ac:dyDescent="0.3">
      <c r="A66" t="s">
        <v>167</v>
      </c>
      <c r="B66" t="s">
        <v>125</v>
      </c>
      <c r="C66" s="4" t="s">
        <v>357</v>
      </c>
      <c r="D66" t="s">
        <v>36</v>
      </c>
      <c r="E66" t="s">
        <v>23</v>
      </c>
      <c r="F66">
        <v>4</v>
      </c>
      <c r="G66">
        <v>3511</v>
      </c>
      <c r="H66" t="s">
        <v>19</v>
      </c>
      <c r="I66" t="s">
        <v>27</v>
      </c>
      <c r="J66" t="str">
        <f t="shared" ref="J66:J129" si="3">PROPER(TRIM(I66))</f>
        <v>Debit Card</v>
      </c>
      <c r="K66" t="s">
        <v>21</v>
      </c>
      <c r="L66">
        <f t="shared" ref="L66:L129" si="4">F66*G66</f>
        <v>14044</v>
      </c>
      <c r="M66" t="str">
        <f t="shared" ref="M66:M129" si="5">IFERROR(MID(C66,4,2),"")</f>
        <v>12</v>
      </c>
    </row>
    <row r="67" spans="1:13" x14ac:dyDescent="0.3">
      <c r="A67" t="s">
        <v>168</v>
      </c>
      <c r="B67" t="s">
        <v>146</v>
      </c>
      <c r="C67" s="4" t="s">
        <v>358</v>
      </c>
      <c r="D67" t="s">
        <v>30</v>
      </c>
      <c r="E67" t="s">
        <v>31</v>
      </c>
      <c r="F67">
        <v>1</v>
      </c>
      <c r="G67">
        <v>2511</v>
      </c>
      <c r="H67" t="s">
        <v>13</v>
      </c>
      <c r="I67" t="s">
        <v>65</v>
      </c>
      <c r="J67" t="str">
        <f t="shared" si="3"/>
        <v>Unknown</v>
      </c>
      <c r="K67" t="s">
        <v>15</v>
      </c>
      <c r="L67">
        <f t="shared" si="4"/>
        <v>2511</v>
      </c>
      <c r="M67" t="str">
        <f t="shared" si="5"/>
        <v>11</v>
      </c>
    </row>
    <row r="68" spans="1:13" x14ac:dyDescent="0.3">
      <c r="A68" t="s">
        <v>169</v>
      </c>
      <c r="B68" t="s">
        <v>166</v>
      </c>
      <c r="C68" s="4" t="s">
        <v>359</v>
      </c>
      <c r="D68" t="s">
        <v>22</v>
      </c>
      <c r="E68" t="s">
        <v>23</v>
      </c>
      <c r="F68" t="s">
        <v>12</v>
      </c>
      <c r="G68">
        <v>711</v>
      </c>
      <c r="H68" t="s">
        <v>19</v>
      </c>
      <c r="I68" t="s">
        <v>32</v>
      </c>
      <c r="J68" t="str">
        <f t="shared" si="3"/>
        <v>Net Banking</v>
      </c>
      <c r="K68" t="s">
        <v>21</v>
      </c>
      <c r="L68">
        <f t="shared" si="4"/>
        <v>711</v>
      </c>
      <c r="M68" t="str">
        <f t="shared" si="5"/>
        <v>15</v>
      </c>
    </row>
    <row r="69" spans="1:13" x14ac:dyDescent="0.3">
      <c r="A69" t="s">
        <v>170</v>
      </c>
      <c r="B69" t="s">
        <v>78</v>
      </c>
      <c r="C69" s="4" t="s">
        <v>360</v>
      </c>
      <c r="D69" t="s">
        <v>36</v>
      </c>
      <c r="E69" t="s">
        <v>23</v>
      </c>
      <c r="F69">
        <v>2</v>
      </c>
      <c r="G69">
        <v>3511</v>
      </c>
      <c r="H69" t="s">
        <v>24</v>
      </c>
      <c r="I69" t="s">
        <v>25</v>
      </c>
      <c r="J69" t="str">
        <f t="shared" si="3"/>
        <v>Cash</v>
      </c>
      <c r="K69" t="s">
        <v>18</v>
      </c>
      <c r="L69">
        <f t="shared" si="4"/>
        <v>7022</v>
      </c>
      <c r="M69" t="str">
        <f t="shared" si="5"/>
        <v>14</v>
      </c>
    </row>
    <row r="70" spans="1:13" x14ac:dyDescent="0.3">
      <c r="A70" t="s">
        <v>171</v>
      </c>
      <c r="B70" t="s">
        <v>149</v>
      </c>
      <c r="C70" s="4" t="s">
        <v>361</v>
      </c>
      <c r="D70" t="s">
        <v>16</v>
      </c>
      <c r="E70" t="s">
        <v>11</v>
      </c>
      <c r="F70">
        <v>4</v>
      </c>
      <c r="G70">
        <v>61111</v>
      </c>
      <c r="H70" t="s">
        <v>67</v>
      </c>
      <c r="I70" t="s">
        <v>25</v>
      </c>
      <c r="J70" t="str">
        <f>PROPER(TRIM(I71))</f>
        <v>Net Banking</v>
      </c>
      <c r="K70" t="s">
        <v>65</v>
      </c>
      <c r="L70">
        <f t="shared" si="4"/>
        <v>244444</v>
      </c>
      <c r="M70" t="str">
        <f t="shared" si="5"/>
        <v>18</v>
      </c>
    </row>
    <row r="71" spans="1:13" x14ac:dyDescent="0.3">
      <c r="A71" t="s">
        <v>172</v>
      </c>
      <c r="B71" t="s">
        <v>173</v>
      </c>
      <c r="C71" s="4" t="s">
        <v>362</v>
      </c>
      <c r="D71" t="s">
        <v>10</v>
      </c>
      <c r="E71" t="s">
        <v>11</v>
      </c>
      <c r="F71">
        <v>2</v>
      </c>
      <c r="G71">
        <v>31111</v>
      </c>
      <c r="H71" t="s">
        <v>37</v>
      </c>
      <c r="I71" t="s">
        <v>32</v>
      </c>
      <c r="J71" t="str">
        <f t="shared" si="3"/>
        <v>Net Banking</v>
      </c>
      <c r="K71" t="s">
        <v>21</v>
      </c>
      <c r="L71">
        <f t="shared" si="4"/>
        <v>62222</v>
      </c>
      <c r="M71" t="str">
        <f t="shared" si="5"/>
        <v>11</v>
      </c>
    </row>
    <row r="72" spans="1:13" x14ac:dyDescent="0.3">
      <c r="A72" t="s">
        <v>172</v>
      </c>
      <c r="B72" t="s">
        <v>174</v>
      </c>
      <c r="C72" s="4" t="s">
        <v>317</v>
      </c>
      <c r="D72" t="s">
        <v>30</v>
      </c>
      <c r="E72" t="s">
        <v>31</v>
      </c>
      <c r="F72">
        <v>3</v>
      </c>
      <c r="G72">
        <v>2511</v>
      </c>
      <c r="H72" t="s">
        <v>37</v>
      </c>
      <c r="I72" t="s">
        <v>27</v>
      </c>
      <c r="J72" t="str">
        <f t="shared" si="3"/>
        <v>Debit Card</v>
      </c>
      <c r="K72" t="s">
        <v>18</v>
      </c>
      <c r="L72">
        <f t="shared" si="4"/>
        <v>7533</v>
      </c>
      <c r="M72" t="str">
        <f t="shared" si="5"/>
        <v>11</v>
      </c>
    </row>
    <row r="73" spans="1:13" x14ac:dyDescent="0.3">
      <c r="A73" t="s">
        <v>175</v>
      </c>
      <c r="B73" t="s">
        <v>123</v>
      </c>
      <c r="C73" s="4" t="s">
        <v>363</v>
      </c>
      <c r="D73" t="s">
        <v>16</v>
      </c>
      <c r="E73" t="s">
        <v>11</v>
      </c>
      <c r="F73">
        <v>3</v>
      </c>
      <c r="G73">
        <v>52111</v>
      </c>
      <c r="H73" t="s">
        <v>29</v>
      </c>
      <c r="I73" t="s">
        <v>32</v>
      </c>
      <c r="J73" t="str">
        <f t="shared" si="3"/>
        <v>Net Banking</v>
      </c>
      <c r="K73" t="s">
        <v>21</v>
      </c>
      <c r="L73">
        <f t="shared" si="4"/>
        <v>156333</v>
      </c>
      <c r="M73" t="str">
        <f t="shared" si="5"/>
        <v>13</v>
      </c>
    </row>
    <row r="74" spans="1:13" x14ac:dyDescent="0.3">
      <c r="A74" t="s">
        <v>176</v>
      </c>
      <c r="B74" t="s">
        <v>92</v>
      </c>
      <c r="C74" s="4" t="s">
        <v>364</v>
      </c>
      <c r="D74" t="s">
        <v>22</v>
      </c>
      <c r="E74" t="s">
        <v>23</v>
      </c>
      <c r="F74">
        <v>2</v>
      </c>
      <c r="G74">
        <v>711</v>
      </c>
      <c r="H74" t="s">
        <v>67</v>
      </c>
      <c r="I74" t="s">
        <v>25</v>
      </c>
      <c r="J74" t="str">
        <f t="shared" si="3"/>
        <v>Cash</v>
      </c>
      <c r="K74" t="s">
        <v>21</v>
      </c>
      <c r="L74">
        <f t="shared" si="4"/>
        <v>1422</v>
      </c>
      <c r="M74" t="str">
        <f t="shared" si="5"/>
        <v>13</v>
      </c>
    </row>
    <row r="75" spans="1:13" x14ac:dyDescent="0.3">
      <c r="A75" t="s">
        <v>177</v>
      </c>
      <c r="B75" t="s">
        <v>76</v>
      </c>
      <c r="C75" s="4" t="s">
        <v>354</v>
      </c>
      <c r="D75" t="s">
        <v>26</v>
      </c>
      <c r="E75" t="s">
        <v>11</v>
      </c>
      <c r="F75">
        <v>1</v>
      </c>
      <c r="G75">
        <v>22111</v>
      </c>
      <c r="H75" t="s">
        <v>29</v>
      </c>
      <c r="I75" t="s">
        <v>20</v>
      </c>
      <c r="J75" t="str">
        <f t="shared" si="3"/>
        <v>Upi</v>
      </c>
      <c r="K75" t="s">
        <v>21</v>
      </c>
      <c r="L75">
        <f t="shared" si="4"/>
        <v>22111</v>
      </c>
      <c r="M75" t="str">
        <f t="shared" si="5"/>
        <v>11</v>
      </c>
    </row>
    <row r="76" spans="1:13" x14ac:dyDescent="0.3">
      <c r="A76" t="s">
        <v>178</v>
      </c>
      <c r="B76" t="s">
        <v>179</v>
      </c>
      <c r="C76" s="4" t="s">
        <v>365</v>
      </c>
      <c r="D76" t="s">
        <v>28</v>
      </c>
      <c r="E76" t="s">
        <v>23</v>
      </c>
      <c r="F76">
        <v>4</v>
      </c>
      <c r="G76">
        <v>1811</v>
      </c>
      <c r="H76" t="s">
        <v>37</v>
      </c>
      <c r="I76" t="s">
        <v>20</v>
      </c>
      <c r="J76" t="str">
        <f t="shared" si="3"/>
        <v>Upi</v>
      </c>
      <c r="K76" t="s">
        <v>18</v>
      </c>
      <c r="L76">
        <f t="shared" si="4"/>
        <v>7244</v>
      </c>
      <c r="M76" t="str">
        <f t="shared" si="5"/>
        <v>13</v>
      </c>
    </row>
    <row r="77" spans="1:13" x14ac:dyDescent="0.3">
      <c r="A77" t="s">
        <v>180</v>
      </c>
      <c r="B77" t="s">
        <v>181</v>
      </c>
      <c r="C77" s="4" t="s">
        <v>366</v>
      </c>
      <c r="D77" t="s">
        <v>30</v>
      </c>
      <c r="E77" t="s">
        <v>31</v>
      </c>
      <c r="F77">
        <v>0</v>
      </c>
      <c r="G77">
        <v>4111</v>
      </c>
      <c r="H77" t="s">
        <v>13</v>
      </c>
      <c r="I77" t="s">
        <v>25</v>
      </c>
      <c r="J77" t="str">
        <f t="shared" si="3"/>
        <v>Cash</v>
      </c>
      <c r="K77" t="s">
        <v>21</v>
      </c>
      <c r="L77">
        <f t="shared" si="4"/>
        <v>0</v>
      </c>
      <c r="M77" t="str">
        <f t="shared" si="5"/>
        <v>18</v>
      </c>
    </row>
    <row r="78" spans="1:13" x14ac:dyDescent="0.3">
      <c r="A78" t="s">
        <v>182</v>
      </c>
      <c r="B78" t="s">
        <v>183</v>
      </c>
      <c r="C78" s="4" t="s">
        <v>345</v>
      </c>
      <c r="D78" t="s">
        <v>34</v>
      </c>
      <c r="E78" t="s">
        <v>11</v>
      </c>
      <c r="F78">
        <v>3</v>
      </c>
      <c r="G78">
        <v>25111</v>
      </c>
      <c r="H78" t="s">
        <v>29</v>
      </c>
      <c r="I78" t="s">
        <v>20</v>
      </c>
      <c r="J78" t="str">
        <f t="shared" si="3"/>
        <v>Upi</v>
      </c>
      <c r="K78" t="s">
        <v>18</v>
      </c>
      <c r="L78">
        <f t="shared" si="4"/>
        <v>75333</v>
      </c>
      <c r="M78" t="str">
        <f t="shared" si="5"/>
        <v>12</v>
      </c>
    </row>
    <row r="79" spans="1:13" x14ac:dyDescent="0.3">
      <c r="A79" t="s">
        <v>184</v>
      </c>
      <c r="B79" t="s">
        <v>103</v>
      </c>
      <c r="C79" s="4" t="s">
        <v>367</v>
      </c>
      <c r="D79" t="s">
        <v>22</v>
      </c>
      <c r="E79" t="s">
        <v>23</v>
      </c>
      <c r="F79">
        <v>2</v>
      </c>
      <c r="G79">
        <v>411</v>
      </c>
      <c r="H79" t="s">
        <v>67</v>
      </c>
      <c r="I79" t="s">
        <v>20</v>
      </c>
      <c r="J79" t="str">
        <f t="shared" si="3"/>
        <v>Upi</v>
      </c>
      <c r="K79" t="s">
        <v>21</v>
      </c>
      <c r="L79">
        <f t="shared" si="4"/>
        <v>822</v>
      </c>
      <c r="M79" t="str">
        <f t="shared" si="5"/>
        <v>15</v>
      </c>
    </row>
    <row r="80" spans="1:13" x14ac:dyDescent="0.3">
      <c r="A80" t="s">
        <v>185</v>
      </c>
      <c r="B80" t="s">
        <v>132</v>
      </c>
      <c r="C80" s="4" t="s">
        <v>368</v>
      </c>
      <c r="D80" t="s">
        <v>28</v>
      </c>
      <c r="E80" t="s">
        <v>23</v>
      </c>
      <c r="F80">
        <v>2</v>
      </c>
      <c r="G80">
        <v>1811</v>
      </c>
      <c r="H80" t="s">
        <v>17</v>
      </c>
      <c r="I80" t="s">
        <v>20</v>
      </c>
      <c r="J80" t="str">
        <f>PROPER(TRIM(I81))</f>
        <v>Net Banking</v>
      </c>
      <c r="K80" t="s">
        <v>21</v>
      </c>
      <c r="L80">
        <f t="shared" si="4"/>
        <v>3622</v>
      </c>
      <c r="M80" t="str">
        <f t="shared" si="5"/>
        <v>11</v>
      </c>
    </row>
    <row r="81" spans="1:13" x14ac:dyDescent="0.3">
      <c r="A81" t="s">
        <v>186</v>
      </c>
      <c r="B81" t="s">
        <v>103</v>
      </c>
      <c r="C81" s="4" t="s">
        <v>354</v>
      </c>
      <c r="D81" t="s">
        <v>16</v>
      </c>
      <c r="E81" t="s">
        <v>11</v>
      </c>
      <c r="F81">
        <v>2</v>
      </c>
      <c r="G81">
        <v>45111</v>
      </c>
      <c r="H81" t="s">
        <v>19</v>
      </c>
      <c r="I81" t="s">
        <v>32</v>
      </c>
      <c r="J81" t="str">
        <f t="shared" si="3"/>
        <v>Net Banking</v>
      </c>
      <c r="K81" t="s">
        <v>15</v>
      </c>
      <c r="L81">
        <f t="shared" si="4"/>
        <v>90222</v>
      </c>
      <c r="M81" t="str">
        <f t="shared" si="5"/>
        <v>11</v>
      </c>
    </row>
    <row r="82" spans="1:13" x14ac:dyDescent="0.3">
      <c r="A82" t="s">
        <v>186</v>
      </c>
      <c r="B82" t="s">
        <v>174</v>
      </c>
      <c r="C82" s="4" t="s">
        <v>369</v>
      </c>
      <c r="D82" t="s">
        <v>10</v>
      </c>
      <c r="E82" t="s">
        <v>11</v>
      </c>
      <c r="F82">
        <v>4</v>
      </c>
      <c r="G82">
        <v>31111</v>
      </c>
      <c r="H82" t="s">
        <v>37</v>
      </c>
      <c r="I82" t="s">
        <v>20</v>
      </c>
      <c r="J82" t="str">
        <f t="shared" si="3"/>
        <v>Upi</v>
      </c>
      <c r="K82" t="s">
        <v>18</v>
      </c>
      <c r="L82">
        <f t="shared" si="4"/>
        <v>124444</v>
      </c>
      <c r="M82" t="str">
        <f t="shared" si="5"/>
        <v>18</v>
      </c>
    </row>
    <row r="83" spans="1:13" x14ac:dyDescent="0.3">
      <c r="A83" t="s">
        <v>187</v>
      </c>
      <c r="B83" t="s">
        <v>72</v>
      </c>
      <c r="C83" s="4" t="s">
        <v>370</v>
      </c>
      <c r="D83" t="s">
        <v>34</v>
      </c>
      <c r="E83" t="s">
        <v>11</v>
      </c>
      <c r="F83">
        <v>4</v>
      </c>
      <c r="G83">
        <v>18111</v>
      </c>
      <c r="H83" t="s">
        <v>29</v>
      </c>
      <c r="I83" t="s">
        <v>25</v>
      </c>
      <c r="J83" t="str">
        <f t="shared" si="3"/>
        <v>Cash</v>
      </c>
      <c r="K83" t="s">
        <v>21</v>
      </c>
      <c r="L83">
        <f t="shared" si="4"/>
        <v>72444</v>
      </c>
      <c r="M83" t="str">
        <f t="shared" si="5"/>
        <v>13</v>
      </c>
    </row>
    <row r="84" spans="1:13" x14ac:dyDescent="0.3">
      <c r="A84" t="s">
        <v>188</v>
      </c>
      <c r="B84" t="s">
        <v>189</v>
      </c>
      <c r="C84" s="4" t="s">
        <v>371</v>
      </c>
      <c r="D84" t="s">
        <v>22</v>
      </c>
      <c r="E84" t="s">
        <v>23</v>
      </c>
      <c r="F84">
        <v>4</v>
      </c>
      <c r="G84">
        <v>1111</v>
      </c>
      <c r="H84" t="s">
        <v>29</v>
      </c>
      <c r="I84" t="s">
        <v>65</v>
      </c>
      <c r="J84" t="str">
        <f t="shared" si="3"/>
        <v>Unknown</v>
      </c>
      <c r="K84" t="s">
        <v>65</v>
      </c>
      <c r="L84">
        <f t="shared" si="4"/>
        <v>4444</v>
      </c>
      <c r="M84" t="str">
        <f t="shared" si="5"/>
        <v>14</v>
      </c>
    </row>
    <row r="85" spans="1:13" x14ac:dyDescent="0.3">
      <c r="A85" t="s">
        <v>190</v>
      </c>
      <c r="B85" t="s">
        <v>162</v>
      </c>
      <c r="C85" s="4" t="s">
        <v>372</v>
      </c>
      <c r="D85" t="s">
        <v>34</v>
      </c>
      <c r="E85" t="s">
        <v>11</v>
      </c>
      <c r="F85">
        <v>1</v>
      </c>
      <c r="G85">
        <v>18111</v>
      </c>
      <c r="H85" t="s">
        <v>13</v>
      </c>
      <c r="I85" t="s">
        <v>20</v>
      </c>
      <c r="J85" t="str">
        <f t="shared" si="3"/>
        <v>Upi</v>
      </c>
      <c r="K85" t="s">
        <v>18</v>
      </c>
      <c r="L85">
        <f t="shared" si="4"/>
        <v>18111</v>
      </c>
      <c r="M85" t="str">
        <f t="shared" si="5"/>
        <v>12</v>
      </c>
    </row>
    <row r="86" spans="1:13" x14ac:dyDescent="0.3">
      <c r="A86" t="s">
        <v>191</v>
      </c>
      <c r="B86" t="s">
        <v>93</v>
      </c>
      <c r="C86" s="4" t="s">
        <v>354</v>
      </c>
      <c r="D86" t="s">
        <v>10</v>
      </c>
      <c r="E86" t="s">
        <v>11</v>
      </c>
      <c r="F86">
        <v>3</v>
      </c>
      <c r="G86">
        <v>15111</v>
      </c>
      <c r="H86" t="s">
        <v>24</v>
      </c>
      <c r="I86" t="s">
        <v>27</v>
      </c>
      <c r="J86" t="str">
        <f t="shared" si="3"/>
        <v>Debit Card</v>
      </c>
      <c r="K86" t="s">
        <v>15</v>
      </c>
      <c r="L86">
        <f t="shared" si="4"/>
        <v>45333</v>
      </c>
      <c r="M86" t="str">
        <f t="shared" si="5"/>
        <v>11</v>
      </c>
    </row>
    <row r="87" spans="1:13" x14ac:dyDescent="0.3">
      <c r="A87" t="s">
        <v>192</v>
      </c>
      <c r="B87" t="s">
        <v>82</v>
      </c>
      <c r="C87" s="4" t="s">
        <v>358</v>
      </c>
      <c r="D87" t="s">
        <v>28</v>
      </c>
      <c r="E87" t="s">
        <v>23</v>
      </c>
      <c r="F87">
        <v>0</v>
      </c>
      <c r="G87">
        <v>1211</v>
      </c>
      <c r="H87" t="s">
        <v>19</v>
      </c>
      <c r="I87" t="s">
        <v>38</v>
      </c>
      <c r="J87" t="str">
        <f t="shared" si="3"/>
        <v>Credit Card</v>
      </c>
      <c r="K87" t="s">
        <v>21</v>
      </c>
      <c r="L87">
        <f t="shared" si="4"/>
        <v>0</v>
      </c>
      <c r="M87" t="str">
        <f t="shared" si="5"/>
        <v>11</v>
      </c>
    </row>
    <row r="88" spans="1:13" x14ac:dyDescent="0.3">
      <c r="A88" t="s">
        <v>193</v>
      </c>
      <c r="B88" t="s">
        <v>131</v>
      </c>
      <c r="C88" s="4" t="s">
        <v>373</v>
      </c>
      <c r="D88" t="s">
        <v>16</v>
      </c>
      <c r="E88" t="s">
        <v>11</v>
      </c>
      <c r="F88">
        <v>3</v>
      </c>
      <c r="G88">
        <v>45111</v>
      </c>
      <c r="H88" t="s">
        <v>19</v>
      </c>
      <c r="I88" t="s">
        <v>20</v>
      </c>
      <c r="J88" t="str">
        <f t="shared" si="3"/>
        <v>Upi</v>
      </c>
      <c r="K88" t="s">
        <v>15</v>
      </c>
      <c r="L88">
        <f t="shared" si="4"/>
        <v>135333</v>
      </c>
      <c r="M88" t="str">
        <f t="shared" si="5"/>
        <v>14</v>
      </c>
    </row>
    <row r="89" spans="1:13" x14ac:dyDescent="0.3">
      <c r="A89" t="s">
        <v>194</v>
      </c>
      <c r="B89" t="s">
        <v>118</v>
      </c>
      <c r="C89" s="4" t="s">
        <v>374</v>
      </c>
      <c r="D89" t="s">
        <v>16</v>
      </c>
      <c r="E89" t="s">
        <v>11</v>
      </c>
      <c r="F89">
        <v>1</v>
      </c>
      <c r="G89">
        <v>52111</v>
      </c>
      <c r="H89" t="s">
        <v>13</v>
      </c>
      <c r="I89" t="s">
        <v>20</v>
      </c>
      <c r="J89" t="str">
        <f t="shared" si="3"/>
        <v>Upi</v>
      </c>
      <c r="K89" t="s">
        <v>15</v>
      </c>
      <c r="L89">
        <f t="shared" si="4"/>
        <v>52111</v>
      </c>
      <c r="M89" t="str">
        <f t="shared" si="5"/>
        <v>16</v>
      </c>
    </row>
    <row r="90" spans="1:13" x14ac:dyDescent="0.3">
      <c r="A90" t="s">
        <v>195</v>
      </c>
      <c r="B90" t="s">
        <v>140</v>
      </c>
      <c r="C90" s="4" t="s">
        <v>340</v>
      </c>
      <c r="D90" t="s">
        <v>36</v>
      </c>
      <c r="E90" t="s">
        <v>23</v>
      </c>
      <c r="F90">
        <v>1</v>
      </c>
      <c r="G90">
        <v>3511</v>
      </c>
      <c r="H90" t="s">
        <v>13</v>
      </c>
      <c r="I90" t="s">
        <v>27</v>
      </c>
      <c r="J90" t="str">
        <f>PROPER(TRIM(I91))</f>
        <v>Debit Card</v>
      </c>
      <c r="K90" t="s">
        <v>18</v>
      </c>
      <c r="L90">
        <f t="shared" si="4"/>
        <v>3511</v>
      </c>
      <c r="M90" t="str">
        <f t="shared" si="5"/>
        <v>15</v>
      </c>
    </row>
    <row r="91" spans="1:13" x14ac:dyDescent="0.3">
      <c r="A91" t="s">
        <v>196</v>
      </c>
      <c r="B91" t="s">
        <v>140</v>
      </c>
      <c r="C91" s="4" t="s">
        <v>375</v>
      </c>
      <c r="D91" t="s">
        <v>10</v>
      </c>
      <c r="E91" t="s">
        <v>11</v>
      </c>
      <c r="F91">
        <v>3</v>
      </c>
      <c r="G91">
        <v>31111</v>
      </c>
      <c r="H91" t="s">
        <v>17</v>
      </c>
      <c r="I91" t="s">
        <v>27</v>
      </c>
      <c r="J91" t="str">
        <f t="shared" si="3"/>
        <v>Debit Card</v>
      </c>
      <c r="K91" t="s">
        <v>18</v>
      </c>
      <c r="L91">
        <f t="shared" si="4"/>
        <v>93333</v>
      </c>
      <c r="M91" t="str">
        <f t="shared" si="5"/>
        <v>16</v>
      </c>
    </row>
    <row r="92" spans="1:13" x14ac:dyDescent="0.3">
      <c r="A92" t="s">
        <v>196</v>
      </c>
      <c r="B92" t="s">
        <v>197</v>
      </c>
      <c r="C92" s="4" t="s">
        <v>376</v>
      </c>
      <c r="D92" t="s">
        <v>26</v>
      </c>
      <c r="E92" t="s">
        <v>11</v>
      </c>
      <c r="F92">
        <v>1</v>
      </c>
      <c r="G92">
        <v>22111</v>
      </c>
      <c r="H92" t="s">
        <v>37</v>
      </c>
      <c r="I92" t="s">
        <v>25</v>
      </c>
      <c r="J92" t="str">
        <f t="shared" si="3"/>
        <v>Cash</v>
      </c>
      <c r="K92" t="s">
        <v>15</v>
      </c>
      <c r="L92">
        <f t="shared" si="4"/>
        <v>22111</v>
      </c>
      <c r="M92" t="str">
        <f t="shared" si="5"/>
        <v>12</v>
      </c>
    </row>
    <row r="93" spans="1:13" x14ac:dyDescent="0.3">
      <c r="A93" t="s">
        <v>198</v>
      </c>
      <c r="B93" t="s">
        <v>199</v>
      </c>
      <c r="C93" s="4" t="s">
        <v>377</v>
      </c>
      <c r="D93" t="s">
        <v>30</v>
      </c>
      <c r="E93" t="s">
        <v>31</v>
      </c>
      <c r="F93">
        <v>1</v>
      </c>
      <c r="G93">
        <v>999</v>
      </c>
      <c r="H93" t="s">
        <v>29</v>
      </c>
      <c r="I93" t="s">
        <v>14</v>
      </c>
      <c r="J93" t="str">
        <f t="shared" si="3"/>
        <v>Credit Card</v>
      </c>
      <c r="K93" t="s">
        <v>21</v>
      </c>
      <c r="L93">
        <f t="shared" si="4"/>
        <v>999</v>
      </c>
      <c r="M93" t="str">
        <f t="shared" si="5"/>
        <v>17</v>
      </c>
    </row>
    <row r="94" spans="1:13" x14ac:dyDescent="0.3">
      <c r="A94" t="s">
        <v>200</v>
      </c>
      <c r="B94" t="s">
        <v>143</v>
      </c>
      <c r="C94" s="4" t="s">
        <v>378</v>
      </c>
      <c r="D94" t="s">
        <v>30</v>
      </c>
      <c r="E94" t="s">
        <v>31</v>
      </c>
      <c r="F94">
        <v>3</v>
      </c>
      <c r="G94">
        <v>9111</v>
      </c>
      <c r="H94" t="s">
        <v>66</v>
      </c>
      <c r="I94" t="s">
        <v>14</v>
      </c>
      <c r="J94" t="str">
        <f t="shared" si="3"/>
        <v>Credit Card</v>
      </c>
      <c r="K94" t="s">
        <v>18</v>
      </c>
      <c r="L94">
        <f t="shared" si="4"/>
        <v>27333</v>
      </c>
      <c r="M94" t="str">
        <f t="shared" si="5"/>
        <v>16</v>
      </c>
    </row>
    <row r="95" spans="1:13" x14ac:dyDescent="0.3">
      <c r="A95" t="s">
        <v>201</v>
      </c>
      <c r="B95" t="s">
        <v>132</v>
      </c>
      <c r="C95" s="4" t="s">
        <v>370</v>
      </c>
      <c r="D95" t="s">
        <v>36</v>
      </c>
      <c r="E95" t="s">
        <v>23</v>
      </c>
      <c r="F95">
        <v>1</v>
      </c>
      <c r="G95">
        <v>2511</v>
      </c>
      <c r="H95" t="s">
        <v>67</v>
      </c>
      <c r="I95" t="s">
        <v>20</v>
      </c>
      <c r="J95" t="str">
        <f t="shared" si="3"/>
        <v>Upi</v>
      </c>
      <c r="K95" t="s">
        <v>21</v>
      </c>
      <c r="L95">
        <f t="shared" si="4"/>
        <v>2511</v>
      </c>
      <c r="M95" t="str">
        <f t="shared" si="5"/>
        <v>13</v>
      </c>
    </row>
    <row r="96" spans="1:13" x14ac:dyDescent="0.3">
      <c r="A96" t="s">
        <v>202</v>
      </c>
      <c r="B96" t="s">
        <v>97</v>
      </c>
      <c r="C96" s="4" t="s">
        <v>363</v>
      </c>
      <c r="D96" t="s">
        <v>36</v>
      </c>
      <c r="E96" t="s">
        <v>23</v>
      </c>
      <c r="F96">
        <v>1</v>
      </c>
      <c r="G96">
        <v>3511</v>
      </c>
      <c r="H96" t="s">
        <v>13</v>
      </c>
      <c r="I96" t="s">
        <v>25</v>
      </c>
      <c r="J96" t="str">
        <f t="shared" si="3"/>
        <v>Cash</v>
      </c>
      <c r="K96" t="s">
        <v>18</v>
      </c>
      <c r="L96">
        <f t="shared" si="4"/>
        <v>3511</v>
      </c>
      <c r="M96" t="str">
        <f t="shared" si="5"/>
        <v>13</v>
      </c>
    </row>
    <row r="97" spans="1:13" x14ac:dyDescent="0.3">
      <c r="A97" t="s">
        <v>203</v>
      </c>
      <c r="B97" t="s">
        <v>93</v>
      </c>
      <c r="C97" s="4" t="s">
        <v>379</v>
      </c>
      <c r="D97" t="s">
        <v>22</v>
      </c>
      <c r="E97" t="s">
        <v>23</v>
      </c>
      <c r="F97">
        <v>3</v>
      </c>
      <c r="G97">
        <v>711</v>
      </c>
      <c r="H97" t="s">
        <v>13</v>
      </c>
      <c r="I97" t="s">
        <v>20</v>
      </c>
      <c r="J97" t="str">
        <f t="shared" si="3"/>
        <v>Upi</v>
      </c>
      <c r="K97" t="s">
        <v>21</v>
      </c>
      <c r="L97">
        <f t="shared" si="4"/>
        <v>2133</v>
      </c>
      <c r="M97" t="str">
        <f t="shared" si="5"/>
        <v>17</v>
      </c>
    </row>
    <row r="98" spans="1:13" x14ac:dyDescent="0.3">
      <c r="A98" t="s">
        <v>204</v>
      </c>
      <c r="B98" t="s">
        <v>70</v>
      </c>
      <c r="C98" s="4" t="s">
        <v>331</v>
      </c>
      <c r="D98" t="s">
        <v>34</v>
      </c>
      <c r="E98" t="s">
        <v>11</v>
      </c>
      <c r="F98">
        <v>4</v>
      </c>
      <c r="G98">
        <v>18111</v>
      </c>
      <c r="H98" t="s">
        <v>29</v>
      </c>
      <c r="I98" t="s">
        <v>20</v>
      </c>
      <c r="J98" t="str">
        <f t="shared" si="3"/>
        <v>Upi</v>
      </c>
      <c r="K98" t="s">
        <v>21</v>
      </c>
      <c r="L98">
        <f t="shared" si="4"/>
        <v>72444</v>
      </c>
      <c r="M98" t="str">
        <f t="shared" si="5"/>
        <v>18</v>
      </c>
    </row>
    <row r="99" spans="1:13" x14ac:dyDescent="0.3">
      <c r="A99" t="s">
        <v>205</v>
      </c>
      <c r="B99" t="s">
        <v>197</v>
      </c>
      <c r="C99" s="4" t="s">
        <v>380</v>
      </c>
      <c r="D99" t="s">
        <v>36</v>
      </c>
      <c r="E99" t="s">
        <v>23</v>
      </c>
      <c r="F99">
        <v>1</v>
      </c>
      <c r="G99">
        <v>3511</v>
      </c>
      <c r="H99" t="s">
        <v>19</v>
      </c>
      <c r="I99" t="s">
        <v>27</v>
      </c>
      <c r="J99" t="str">
        <f t="shared" si="3"/>
        <v>Debit Card</v>
      </c>
      <c r="K99" t="s">
        <v>21</v>
      </c>
      <c r="L99">
        <f t="shared" si="4"/>
        <v>3511</v>
      </c>
      <c r="M99" t="str">
        <f t="shared" si="5"/>
        <v>15</v>
      </c>
    </row>
    <row r="100" spans="1:13" x14ac:dyDescent="0.3">
      <c r="A100" t="s">
        <v>206</v>
      </c>
      <c r="B100" t="s">
        <v>111</v>
      </c>
      <c r="C100" s="4" t="s">
        <v>381</v>
      </c>
      <c r="D100" t="s">
        <v>16</v>
      </c>
      <c r="E100" t="s">
        <v>11</v>
      </c>
      <c r="F100">
        <v>3</v>
      </c>
      <c r="G100">
        <v>45111</v>
      </c>
      <c r="H100" t="s">
        <v>17</v>
      </c>
      <c r="I100" t="s">
        <v>27</v>
      </c>
      <c r="J100" t="str">
        <f>PROPER(TRIM(I111))</f>
        <v>Credit Card</v>
      </c>
      <c r="K100" t="s">
        <v>15</v>
      </c>
      <c r="L100">
        <f t="shared" si="4"/>
        <v>135333</v>
      </c>
      <c r="M100" t="str">
        <f t="shared" si="5"/>
        <v>12</v>
      </c>
    </row>
    <row r="101" spans="1:13" x14ac:dyDescent="0.3">
      <c r="A101" t="s">
        <v>69</v>
      </c>
      <c r="B101" t="s">
        <v>89</v>
      </c>
      <c r="C101" s="4" t="s">
        <v>327</v>
      </c>
      <c r="D101" t="s">
        <v>36</v>
      </c>
      <c r="E101" t="s">
        <v>23</v>
      </c>
      <c r="F101">
        <v>3</v>
      </c>
      <c r="G101">
        <v>1811</v>
      </c>
      <c r="H101" t="s">
        <v>17</v>
      </c>
      <c r="I101" t="s">
        <v>32</v>
      </c>
      <c r="J101" t="str">
        <f t="shared" ref="J101:J109" si="6">PROPER(TRIM(I111))</f>
        <v>Credit Card</v>
      </c>
      <c r="K101" t="s">
        <v>15</v>
      </c>
      <c r="L101">
        <f t="shared" si="4"/>
        <v>5433</v>
      </c>
      <c r="M101" t="str">
        <f t="shared" si="5"/>
        <v>11</v>
      </c>
    </row>
    <row r="102" spans="1:13" x14ac:dyDescent="0.3">
      <c r="A102" t="s">
        <v>69</v>
      </c>
      <c r="B102" t="s">
        <v>179</v>
      </c>
      <c r="C102" s="4" t="s">
        <v>382</v>
      </c>
      <c r="D102" t="s">
        <v>34</v>
      </c>
      <c r="E102" t="s">
        <v>11</v>
      </c>
      <c r="F102">
        <v>3</v>
      </c>
      <c r="G102">
        <v>35111</v>
      </c>
      <c r="H102" t="s">
        <v>17</v>
      </c>
      <c r="I102" t="s">
        <v>20</v>
      </c>
      <c r="J102" t="str">
        <f t="shared" si="6"/>
        <v>Debit Card</v>
      </c>
      <c r="K102" t="s">
        <v>18</v>
      </c>
      <c r="L102">
        <f t="shared" si="4"/>
        <v>105333</v>
      </c>
      <c r="M102" t="str">
        <f t="shared" si="5"/>
        <v>14</v>
      </c>
    </row>
    <row r="103" spans="1:13" x14ac:dyDescent="0.3">
      <c r="A103" t="s">
        <v>71</v>
      </c>
      <c r="B103" t="s">
        <v>189</v>
      </c>
      <c r="C103" s="4" t="s">
        <v>383</v>
      </c>
      <c r="D103" t="s">
        <v>10</v>
      </c>
      <c r="E103" t="s">
        <v>11</v>
      </c>
      <c r="F103">
        <v>1</v>
      </c>
      <c r="G103">
        <v>22111</v>
      </c>
      <c r="H103" t="s">
        <v>29</v>
      </c>
      <c r="I103" t="s">
        <v>14</v>
      </c>
      <c r="J103" t="str">
        <f t="shared" si="6"/>
        <v>Cash</v>
      </c>
      <c r="K103" t="s">
        <v>18</v>
      </c>
      <c r="L103">
        <f t="shared" si="4"/>
        <v>22111</v>
      </c>
      <c r="M103" t="str">
        <f t="shared" si="5"/>
        <v>11</v>
      </c>
    </row>
    <row r="104" spans="1:13" x14ac:dyDescent="0.3">
      <c r="A104" t="s">
        <v>73</v>
      </c>
      <c r="B104" t="s">
        <v>118</v>
      </c>
      <c r="C104" s="4" t="s">
        <v>380</v>
      </c>
      <c r="D104" t="s">
        <v>22</v>
      </c>
      <c r="E104" t="s">
        <v>23</v>
      </c>
      <c r="F104">
        <v>4</v>
      </c>
      <c r="G104">
        <v>411</v>
      </c>
      <c r="H104" t="s">
        <v>19</v>
      </c>
      <c r="I104" t="s">
        <v>32</v>
      </c>
      <c r="J104" t="str">
        <f t="shared" si="6"/>
        <v>Net Banking</v>
      </c>
      <c r="K104" t="s">
        <v>21</v>
      </c>
      <c r="L104">
        <f t="shared" si="4"/>
        <v>1644</v>
      </c>
      <c r="M104" t="str">
        <f t="shared" si="5"/>
        <v>15</v>
      </c>
    </row>
    <row r="105" spans="1:13" x14ac:dyDescent="0.3">
      <c r="A105" t="s">
        <v>75</v>
      </c>
      <c r="B105" t="s">
        <v>207</v>
      </c>
      <c r="C105" s="4" t="s">
        <v>384</v>
      </c>
      <c r="D105" t="s">
        <v>16</v>
      </c>
      <c r="E105" t="s">
        <v>11</v>
      </c>
      <c r="F105">
        <v>2</v>
      </c>
      <c r="G105">
        <v>25111</v>
      </c>
      <c r="H105" t="s">
        <v>13</v>
      </c>
      <c r="I105" t="s">
        <v>27</v>
      </c>
      <c r="J105" t="str">
        <f t="shared" si="6"/>
        <v>Debit Card</v>
      </c>
      <c r="K105" t="s">
        <v>15</v>
      </c>
      <c r="L105">
        <f t="shared" si="4"/>
        <v>50222</v>
      </c>
      <c r="M105" t="str">
        <f t="shared" si="5"/>
        <v>12</v>
      </c>
    </row>
    <row r="106" spans="1:13" x14ac:dyDescent="0.3">
      <c r="A106" t="s">
        <v>77</v>
      </c>
      <c r="B106" t="s">
        <v>103</v>
      </c>
      <c r="C106" s="4" t="s">
        <v>366</v>
      </c>
      <c r="D106" t="s">
        <v>36</v>
      </c>
      <c r="E106" t="s">
        <v>23</v>
      </c>
      <c r="F106">
        <v>3</v>
      </c>
      <c r="G106">
        <v>3511</v>
      </c>
      <c r="H106" t="s">
        <v>19</v>
      </c>
      <c r="I106" t="s">
        <v>32</v>
      </c>
      <c r="J106" t="str">
        <f t="shared" si="6"/>
        <v>Upi</v>
      </c>
      <c r="K106" t="s">
        <v>18</v>
      </c>
      <c r="L106">
        <f t="shared" si="4"/>
        <v>10533</v>
      </c>
      <c r="M106" t="str">
        <f t="shared" si="5"/>
        <v>18</v>
      </c>
    </row>
    <row r="107" spans="1:13" x14ac:dyDescent="0.3">
      <c r="A107" t="s">
        <v>79</v>
      </c>
      <c r="B107" t="s">
        <v>86</v>
      </c>
      <c r="C107" s="4" t="s">
        <v>385</v>
      </c>
      <c r="D107" t="s">
        <v>28</v>
      </c>
      <c r="E107" t="s">
        <v>23</v>
      </c>
      <c r="F107">
        <v>4</v>
      </c>
      <c r="G107">
        <v>711</v>
      </c>
      <c r="H107" t="s">
        <v>24</v>
      </c>
      <c r="I107" t="s">
        <v>25</v>
      </c>
      <c r="J107" t="str">
        <f t="shared" si="6"/>
        <v>Net Banking</v>
      </c>
      <c r="K107" t="s">
        <v>21</v>
      </c>
      <c r="L107">
        <f t="shared" si="4"/>
        <v>2844</v>
      </c>
      <c r="M107" t="str">
        <f t="shared" si="5"/>
        <v>13</v>
      </c>
    </row>
    <row r="108" spans="1:13" x14ac:dyDescent="0.3">
      <c r="A108" t="s">
        <v>81</v>
      </c>
      <c r="B108" t="s">
        <v>118</v>
      </c>
      <c r="C108" s="4" t="s">
        <v>386</v>
      </c>
      <c r="D108" t="s">
        <v>36</v>
      </c>
      <c r="E108" t="s">
        <v>23</v>
      </c>
      <c r="F108">
        <v>4</v>
      </c>
      <c r="G108">
        <v>1211</v>
      </c>
      <c r="H108" t="s">
        <v>24</v>
      </c>
      <c r="I108" t="s">
        <v>14</v>
      </c>
      <c r="J108" t="str">
        <f t="shared" si="6"/>
        <v>Debit Card</v>
      </c>
      <c r="K108" t="s">
        <v>18</v>
      </c>
      <c r="L108">
        <f t="shared" si="4"/>
        <v>4844</v>
      </c>
      <c r="M108" t="str">
        <f t="shared" si="5"/>
        <v>12</v>
      </c>
    </row>
    <row r="109" spans="1:13" x14ac:dyDescent="0.3">
      <c r="A109" t="s">
        <v>83</v>
      </c>
      <c r="B109" t="s">
        <v>208</v>
      </c>
      <c r="C109" s="4" t="s">
        <v>387</v>
      </c>
      <c r="D109" t="s">
        <v>10</v>
      </c>
      <c r="E109" t="s">
        <v>11</v>
      </c>
      <c r="F109">
        <v>1</v>
      </c>
      <c r="G109">
        <v>42111</v>
      </c>
      <c r="H109" t="s">
        <v>65</v>
      </c>
      <c r="I109" t="s">
        <v>20</v>
      </c>
      <c r="J109" t="str">
        <f t="shared" si="6"/>
        <v>Debit Card</v>
      </c>
      <c r="K109" t="s">
        <v>21</v>
      </c>
      <c r="L109">
        <f t="shared" si="4"/>
        <v>42111</v>
      </c>
      <c r="M109" t="str">
        <f t="shared" si="5"/>
        <v>13</v>
      </c>
    </row>
    <row r="110" spans="1:13" x14ac:dyDescent="0.3">
      <c r="A110" t="s">
        <v>84</v>
      </c>
      <c r="B110" t="s">
        <v>74</v>
      </c>
      <c r="C110" s="4" t="s">
        <v>353</v>
      </c>
      <c r="D110" t="s">
        <v>26</v>
      </c>
      <c r="E110" t="s">
        <v>11</v>
      </c>
      <c r="F110">
        <v>2</v>
      </c>
      <c r="G110">
        <v>9111</v>
      </c>
      <c r="H110" t="s">
        <v>19</v>
      </c>
      <c r="I110" t="s">
        <v>27</v>
      </c>
      <c r="J110" t="str">
        <f>PROPER(TRIM(I111))</f>
        <v>Credit Card</v>
      </c>
      <c r="K110" t="s">
        <v>18</v>
      </c>
      <c r="L110">
        <f t="shared" si="4"/>
        <v>18222</v>
      </c>
      <c r="M110" t="str">
        <f t="shared" si="5"/>
        <v>18</v>
      </c>
    </row>
    <row r="111" spans="1:13" x14ac:dyDescent="0.3">
      <c r="A111" t="s">
        <v>69</v>
      </c>
      <c r="B111" t="s">
        <v>209</v>
      </c>
      <c r="C111" s="4" t="s">
        <v>383</v>
      </c>
      <c r="D111" t="s">
        <v>16</v>
      </c>
      <c r="E111" t="s">
        <v>11</v>
      </c>
      <c r="F111">
        <v>3</v>
      </c>
      <c r="G111">
        <v>45111</v>
      </c>
      <c r="H111" t="s">
        <v>29</v>
      </c>
      <c r="I111" t="s">
        <v>14</v>
      </c>
      <c r="J111" t="str">
        <f t="shared" si="3"/>
        <v>Credit Card</v>
      </c>
      <c r="K111" t="s">
        <v>21</v>
      </c>
      <c r="L111">
        <f t="shared" si="4"/>
        <v>135333</v>
      </c>
      <c r="M111" t="str">
        <f t="shared" si="5"/>
        <v>11</v>
      </c>
    </row>
    <row r="112" spans="1:13" x14ac:dyDescent="0.3">
      <c r="A112" t="s">
        <v>69</v>
      </c>
      <c r="B112" t="s">
        <v>107</v>
      </c>
      <c r="C112" s="4" t="s">
        <v>383</v>
      </c>
      <c r="D112" t="s">
        <v>30</v>
      </c>
      <c r="E112" t="s">
        <v>31</v>
      </c>
      <c r="F112">
        <v>4</v>
      </c>
      <c r="G112">
        <v>4111</v>
      </c>
      <c r="H112" t="s">
        <v>37</v>
      </c>
      <c r="I112" t="s">
        <v>27</v>
      </c>
      <c r="J112" t="str">
        <f t="shared" si="3"/>
        <v>Debit Card</v>
      </c>
      <c r="K112" t="s">
        <v>18</v>
      </c>
      <c r="L112">
        <f t="shared" si="4"/>
        <v>16444</v>
      </c>
      <c r="M112" t="str">
        <f t="shared" si="5"/>
        <v>11</v>
      </c>
    </row>
    <row r="113" spans="1:13" x14ac:dyDescent="0.3">
      <c r="A113" t="s">
        <v>71</v>
      </c>
      <c r="B113" t="s">
        <v>183</v>
      </c>
      <c r="C113" s="4" t="s">
        <v>387</v>
      </c>
      <c r="D113" t="s">
        <v>34</v>
      </c>
      <c r="E113" t="s">
        <v>11</v>
      </c>
      <c r="F113">
        <v>4</v>
      </c>
      <c r="G113">
        <v>25111</v>
      </c>
      <c r="H113" t="s">
        <v>19</v>
      </c>
      <c r="I113" t="s">
        <v>25</v>
      </c>
      <c r="J113" t="str">
        <f t="shared" si="3"/>
        <v>Cash</v>
      </c>
      <c r="K113" t="s">
        <v>21</v>
      </c>
      <c r="L113">
        <f t="shared" si="4"/>
        <v>100444</v>
      </c>
      <c r="M113" t="str">
        <f t="shared" si="5"/>
        <v>13</v>
      </c>
    </row>
    <row r="114" spans="1:13" x14ac:dyDescent="0.3">
      <c r="A114" t="s">
        <v>73</v>
      </c>
      <c r="B114" t="s">
        <v>118</v>
      </c>
      <c r="C114" s="4" t="s">
        <v>348</v>
      </c>
      <c r="D114" t="s">
        <v>30</v>
      </c>
      <c r="E114" t="s">
        <v>31</v>
      </c>
      <c r="F114">
        <v>4</v>
      </c>
      <c r="G114">
        <v>2511</v>
      </c>
      <c r="H114" t="s">
        <v>19</v>
      </c>
      <c r="I114" t="s">
        <v>32</v>
      </c>
      <c r="J114" t="str">
        <f t="shared" si="3"/>
        <v>Net Banking</v>
      </c>
      <c r="K114" t="s">
        <v>15</v>
      </c>
      <c r="L114">
        <f t="shared" si="4"/>
        <v>10044</v>
      </c>
      <c r="M114" t="str">
        <f t="shared" si="5"/>
        <v>18</v>
      </c>
    </row>
    <row r="115" spans="1:13" x14ac:dyDescent="0.3">
      <c r="A115" t="s">
        <v>75</v>
      </c>
      <c r="B115" t="s">
        <v>155</v>
      </c>
      <c r="C115" s="4" t="s">
        <v>388</v>
      </c>
      <c r="D115" t="s">
        <v>22</v>
      </c>
      <c r="E115" t="s">
        <v>23</v>
      </c>
      <c r="F115">
        <v>3</v>
      </c>
      <c r="G115">
        <v>711</v>
      </c>
      <c r="H115" t="s">
        <v>35</v>
      </c>
      <c r="I115" t="s">
        <v>27</v>
      </c>
      <c r="J115" t="str">
        <f t="shared" si="3"/>
        <v>Debit Card</v>
      </c>
      <c r="K115" t="s">
        <v>18</v>
      </c>
      <c r="L115">
        <f t="shared" si="4"/>
        <v>2133</v>
      </c>
      <c r="M115" t="str">
        <f t="shared" si="5"/>
        <v>13</v>
      </c>
    </row>
    <row r="116" spans="1:13" x14ac:dyDescent="0.3">
      <c r="A116" t="s">
        <v>77</v>
      </c>
      <c r="B116" t="s">
        <v>131</v>
      </c>
      <c r="C116" s="4" t="s">
        <v>329</v>
      </c>
      <c r="D116" t="s">
        <v>16</v>
      </c>
      <c r="E116" t="s">
        <v>11</v>
      </c>
      <c r="F116">
        <v>3</v>
      </c>
      <c r="G116">
        <v>68111</v>
      </c>
      <c r="H116" t="s">
        <v>35</v>
      </c>
      <c r="I116" t="s">
        <v>20</v>
      </c>
      <c r="J116" t="str">
        <f t="shared" si="3"/>
        <v>Upi</v>
      </c>
      <c r="K116" t="s">
        <v>15</v>
      </c>
      <c r="L116">
        <f t="shared" si="4"/>
        <v>204333</v>
      </c>
      <c r="M116" t="str">
        <f t="shared" si="5"/>
        <v>11</v>
      </c>
    </row>
    <row r="117" spans="1:13" x14ac:dyDescent="0.3">
      <c r="A117" t="s">
        <v>79</v>
      </c>
      <c r="B117" t="s">
        <v>97</v>
      </c>
      <c r="C117" s="4" t="s">
        <v>389</v>
      </c>
      <c r="D117" t="s">
        <v>10</v>
      </c>
      <c r="E117" t="s">
        <v>11</v>
      </c>
      <c r="F117">
        <v>2</v>
      </c>
      <c r="G117">
        <v>31111</v>
      </c>
      <c r="H117" t="s">
        <v>13</v>
      </c>
      <c r="I117" t="s">
        <v>32</v>
      </c>
      <c r="J117" t="str">
        <f t="shared" si="3"/>
        <v>Net Banking</v>
      </c>
      <c r="K117" t="s">
        <v>15</v>
      </c>
      <c r="L117">
        <f t="shared" si="4"/>
        <v>62222</v>
      </c>
      <c r="M117" t="str">
        <f t="shared" si="5"/>
        <v>17</v>
      </c>
    </row>
    <row r="118" spans="1:13" x14ac:dyDescent="0.3">
      <c r="A118" t="s">
        <v>81</v>
      </c>
      <c r="B118" t="s">
        <v>74</v>
      </c>
      <c r="C118" s="4" t="s">
        <v>362</v>
      </c>
      <c r="D118" t="s">
        <v>26</v>
      </c>
      <c r="E118" t="s">
        <v>11</v>
      </c>
      <c r="F118">
        <v>4</v>
      </c>
      <c r="G118">
        <v>12111</v>
      </c>
      <c r="H118" t="s">
        <v>24</v>
      </c>
      <c r="I118" t="s">
        <v>27</v>
      </c>
      <c r="J118" t="str">
        <f t="shared" si="3"/>
        <v>Debit Card</v>
      </c>
      <c r="K118" t="s">
        <v>21</v>
      </c>
      <c r="L118">
        <f t="shared" si="4"/>
        <v>48444</v>
      </c>
      <c r="M118" t="str">
        <f t="shared" si="5"/>
        <v>11</v>
      </c>
    </row>
    <row r="119" spans="1:13" x14ac:dyDescent="0.3">
      <c r="A119" t="s">
        <v>83</v>
      </c>
      <c r="B119" t="s">
        <v>162</v>
      </c>
      <c r="C119" s="4" t="s">
        <v>348</v>
      </c>
      <c r="D119" t="s">
        <v>30</v>
      </c>
      <c r="E119" t="s">
        <v>31</v>
      </c>
      <c r="F119">
        <v>2</v>
      </c>
      <c r="G119">
        <v>4111</v>
      </c>
      <c r="H119" t="s">
        <v>65</v>
      </c>
      <c r="I119" t="s">
        <v>27</v>
      </c>
      <c r="J119" t="str">
        <f t="shared" si="3"/>
        <v>Debit Card</v>
      </c>
      <c r="K119" t="s">
        <v>21</v>
      </c>
      <c r="L119">
        <f t="shared" si="4"/>
        <v>8222</v>
      </c>
      <c r="M119" t="str">
        <f t="shared" si="5"/>
        <v>18</v>
      </c>
    </row>
    <row r="120" spans="1:13" x14ac:dyDescent="0.3">
      <c r="A120" t="s">
        <v>84</v>
      </c>
      <c r="B120" t="s">
        <v>210</v>
      </c>
      <c r="C120" s="4" t="s">
        <v>322</v>
      </c>
      <c r="D120" t="s">
        <v>10</v>
      </c>
      <c r="E120" t="s">
        <v>11</v>
      </c>
      <c r="F120">
        <v>3</v>
      </c>
      <c r="G120">
        <v>22111</v>
      </c>
      <c r="H120" t="s">
        <v>35</v>
      </c>
      <c r="I120" t="s">
        <v>20</v>
      </c>
      <c r="J120" t="str">
        <f>PROPER(TRIM(I121))</f>
        <v>Debit Card</v>
      </c>
      <c r="K120" t="s">
        <v>18</v>
      </c>
      <c r="L120">
        <f t="shared" si="4"/>
        <v>66333</v>
      </c>
      <c r="M120" t="str">
        <f t="shared" si="5"/>
        <v>13</v>
      </c>
    </row>
    <row r="121" spans="1:13" x14ac:dyDescent="0.3">
      <c r="A121" t="s">
        <v>95</v>
      </c>
      <c r="B121" t="s">
        <v>118</v>
      </c>
      <c r="C121" s="4" t="s">
        <v>390</v>
      </c>
      <c r="D121" t="s">
        <v>26</v>
      </c>
      <c r="E121" t="s">
        <v>11</v>
      </c>
      <c r="F121">
        <v>4</v>
      </c>
      <c r="G121">
        <v>22111</v>
      </c>
      <c r="H121" t="s">
        <v>17</v>
      </c>
      <c r="I121" t="s">
        <v>27</v>
      </c>
      <c r="J121" t="str">
        <f t="shared" si="3"/>
        <v>Debit Card</v>
      </c>
      <c r="K121" t="s">
        <v>21</v>
      </c>
      <c r="L121">
        <f t="shared" si="4"/>
        <v>88444</v>
      </c>
      <c r="M121" t="str">
        <f t="shared" si="5"/>
        <v>11</v>
      </c>
    </row>
    <row r="122" spans="1:13" x14ac:dyDescent="0.3">
      <c r="A122" t="s">
        <v>95</v>
      </c>
      <c r="B122" t="s">
        <v>179</v>
      </c>
      <c r="C122" s="4" t="s">
        <v>391</v>
      </c>
      <c r="D122" t="s">
        <v>10</v>
      </c>
      <c r="E122" t="s">
        <v>11</v>
      </c>
      <c r="F122">
        <v>4</v>
      </c>
      <c r="G122">
        <v>31111</v>
      </c>
      <c r="H122" t="s">
        <v>13</v>
      </c>
      <c r="I122" t="s">
        <v>32</v>
      </c>
      <c r="J122" t="str">
        <f t="shared" si="3"/>
        <v>Net Banking</v>
      </c>
      <c r="K122" t="s">
        <v>15</v>
      </c>
      <c r="L122">
        <f t="shared" si="4"/>
        <v>124444</v>
      </c>
      <c r="M122" t="str">
        <f t="shared" si="5"/>
        <v>19</v>
      </c>
    </row>
    <row r="123" spans="1:13" x14ac:dyDescent="0.3">
      <c r="A123" t="s">
        <v>98</v>
      </c>
      <c r="B123" t="s">
        <v>211</v>
      </c>
      <c r="C123" s="4" t="s">
        <v>392</v>
      </c>
      <c r="D123" t="s">
        <v>22</v>
      </c>
      <c r="E123" t="s">
        <v>23</v>
      </c>
      <c r="F123">
        <v>2</v>
      </c>
      <c r="G123">
        <v>1111</v>
      </c>
      <c r="H123" t="s">
        <v>24</v>
      </c>
      <c r="I123" t="s">
        <v>14</v>
      </c>
      <c r="J123" t="str">
        <f t="shared" si="3"/>
        <v>Credit Card</v>
      </c>
      <c r="K123" t="s">
        <v>21</v>
      </c>
      <c r="L123">
        <f t="shared" si="4"/>
        <v>2222</v>
      </c>
      <c r="M123" t="str">
        <f t="shared" si="5"/>
        <v>14</v>
      </c>
    </row>
    <row r="124" spans="1:13" x14ac:dyDescent="0.3">
      <c r="A124" t="s">
        <v>100</v>
      </c>
      <c r="B124" t="s">
        <v>74</v>
      </c>
      <c r="C124" s="4" t="s">
        <v>393</v>
      </c>
      <c r="D124" t="s">
        <v>22</v>
      </c>
      <c r="E124" t="s">
        <v>23</v>
      </c>
      <c r="F124">
        <v>1</v>
      </c>
      <c r="G124">
        <v>1111</v>
      </c>
      <c r="H124" t="s">
        <v>24</v>
      </c>
      <c r="I124" t="s">
        <v>14</v>
      </c>
      <c r="J124" t="str">
        <f t="shared" si="3"/>
        <v>Credit Card</v>
      </c>
      <c r="K124" t="s">
        <v>21</v>
      </c>
      <c r="L124">
        <f t="shared" si="4"/>
        <v>1111</v>
      </c>
      <c r="M124" t="str">
        <f t="shared" si="5"/>
        <v>12</v>
      </c>
    </row>
    <row r="125" spans="1:13" x14ac:dyDescent="0.3">
      <c r="A125" t="s">
        <v>102</v>
      </c>
      <c r="B125" t="s">
        <v>155</v>
      </c>
      <c r="C125" s="4" t="s">
        <v>325</v>
      </c>
      <c r="D125" t="s">
        <v>34</v>
      </c>
      <c r="E125" t="s">
        <v>11</v>
      </c>
      <c r="F125">
        <v>1</v>
      </c>
      <c r="G125">
        <v>25111</v>
      </c>
      <c r="H125" t="s">
        <v>37</v>
      </c>
      <c r="I125" t="s">
        <v>14</v>
      </c>
      <c r="J125" t="str">
        <f t="shared" si="3"/>
        <v>Credit Card</v>
      </c>
      <c r="K125" t="s">
        <v>18</v>
      </c>
      <c r="L125">
        <f t="shared" si="4"/>
        <v>25111</v>
      </c>
      <c r="M125" t="str">
        <f t="shared" si="5"/>
        <v>12</v>
      </c>
    </row>
    <row r="126" spans="1:13" x14ac:dyDescent="0.3">
      <c r="A126" t="s">
        <v>104</v>
      </c>
      <c r="B126" t="s">
        <v>103</v>
      </c>
      <c r="C126" s="4" t="s">
        <v>394</v>
      </c>
      <c r="D126" t="s">
        <v>34</v>
      </c>
      <c r="E126" t="s">
        <v>11</v>
      </c>
      <c r="F126">
        <v>4</v>
      </c>
      <c r="G126">
        <v>25111</v>
      </c>
      <c r="H126" t="s">
        <v>29</v>
      </c>
      <c r="I126" t="s">
        <v>65</v>
      </c>
      <c r="J126" t="str">
        <f t="shared" si="3"/>
        <v>Unknown</v>
      </c>
      <c r="K126" t="s">
        <v>21</v>
      </c>
      <c r="L126">
        <f t="shared" si="4"/>
        <v>100444</v>
      </c>
      <c r="M126" t="str">
        <f t="shared" si="5"/>
        <v>17</v>
      </c>
    </row>
    <row r="127" spans="1:13" x14ac:dyDescent="0.3">
      <c r="A127" t="s">
        <v>106</v>
      </c>
      <c r="B127" t="s">
        <v>208</v>
      </c>
      <c r="C127" s="4" t="s">
        <v>327</v>
      </c>
      <c r="D127" t="s">
        <v>10</v>
      </c>
      <c r="E127" t="s">
        <v>11</v>
      </c>
      <c r="F127">
        <v>3</v>
      </c>
      <c r="G127">
        <v>42111</v>
      </c>
      <c r="H127" t="s">
        <v>19</v>
      </c>
      <c r="I127" t="s">
        <v>32</v>
      </c>
      <c r="J127" t="str">
        <f t="shared" si="3"/>
        <v>Net Banking</v>
      </c>
      <c r="K127" t="s">
        <v>18</v>
      </c>
      <c r="L127">
        <f t="shared" si="4"/>
        <v>126333</v>
      </c>
      <c r="M127" t="str">
        <f t="shared" si="5"/>
        <v>11</v>
      </c>
    </row>
    <row r="128" spans="1:13" x14ac:dyDescent="0.3">
      <c r="A128" t="s">
        <v>108</v>
      </c>
      <c r="B128" t="s">
        <v>199</v>
      </c>
      <c r="C128" s="4" t="s">
        <v>395</v>
      </c>
      <c r="D128" t="s">
        <v>28</v>
      </c>
      <c r="E128" t="s">
        <v>23</v>
      </c>
      <c r="F128">
        <v>2</v>
      </c>
      <c r="G128">
        <v>711</v>
      </c>
      <c r="H128" t="s">
        <v>13</v>
      </c>
      <c r="I128" t="s">
        <v>25</v>
      </c>
      <c r="J128" t="str">
        <f t="shared" si="3"/>
        <v>Cash</v>
      </c>
      <c r="K128" t="s">
        <v>21</v>
      </c>
      <c r="L128">
        <f t="shared" si="4"/>
        <v>1422</v>
      </c>
      <c r="M128" t="str">
        <f t="shared" si="5"/>
        <v>19</v>
      </c>
    </row>
    <row r="129" spans="1:13" x14ac:dyDescent="0.3">
      <c r="A129" t="s">
        <v>110</v>
      </c>
      <c r="B129" t="s">
        <v>162</v>
      </c>
      <c r="C129" s="4" t="s">
        <v>314</v>
      </c>
      <c r="D129" t="s">
        <v>30</v>
      </c>
      <c r="E129" t="s">
        <v>31</v>
      </c>
      <c r="F129">
        <v>2</v>
      </c>
      <c r="G129">
        <v>6511</v>
      </c>
      <c r="H129" t="s">
        <v>13</v>
      </c>
      <c r="I129" t="s">
        <v>25</v>
      </c>
      <c r="J129" t="str">
        <f t="shared" si="3"/>
        <v>Cash</v>
      </c>
      <c r="K129" t="s">
        <v>15</v>
      </c>
      <c r="L129">
        <f t="shared" si="4"/>
        <v>13022</v>
      </c>
      <c r="M129" t="str">
        <f t="shared" si="5"/>
        <v>11</v>
      </c>
    </row>
    <row r="130" spans="1:13" x14ac:dyDescent="0.3">
      <c r="A130" t="s">
        <v>112</v>
      </c>
      <c r="B130" t="s">
        <v>197</v>
      </c>
      <c r="C130" s="4" t="s">
        <v>325</v>
      </c>
      <c r="D130" t="s">
        <v>22</v>
      </c>
      <c r="E130" t="s">
        <v>23</v>
      </c>
      <c r="F130">
        <v>3</v>
      </c>
      <c r="G130">
        <v>411</v>
      </c>
      <c r="H130" t="s">
        <v>35</v>
      </c>
      <c r="I130" t="s">
        <v>32</v>
      </c>
      <c r="J130" t="str">
        <f>PROPER(TRIM(I131))</f>
        <v>Net Banking</v>
      </c>
      <c r="K130" t="s">
        <v>18</v>
      </c>
      <c r="L130">
        <f t="shared" ref="L130:L193" si="7">F130*G130</f>
        <v>1233</v>
      </c>
      <c r="M130" t="str">
        <f t="shared" ref="M130:M193" si="8">IFERROR(MID(C130,4,2),"")</f>
        <v>12</v>
      </c>
    </row>
    <row r="131" spans="1:13" x14ac:dyDescent="0.3">
      <c r="A131" t="s">
        <v>114</v>
      </c>
      <c r="B131" t="s">
        <v>109</v>
      </c>
      <c r="C131" s="4" t="s">
        <v>362</v>
      </c>
      <c r="D131" t="s">
        <v>10</v>
      </c>
      <c r="E131" t="s">
        <v>11</v>
      </c>
      <c r="F131">
        <v>2</v>
      </c>
      <c r="G131">
        <v>42111</v>
      </c>
      <c r="H131" t="s">
        <v>19</v>
      </c>
      <c r="I131" t="s">
        <v>32</v>
      </c>
      <c r="J131" t="str">
        <f t="shared" ref="J131:J193" si="9">PROPER(TRIM(I131))</f>
        <v>Net Banking</v>
      </c>
      <c r="K131" t="s">
        <v>15</v>
      </c>
      <c r="L131">
        <f t="shared" si="7"/>
        <v>84222</v>
      </c>
      <c r="M131" t="str">
        <f t="shared" si="8"/>
        <v>11</v>
      </c>
    </row>
    <row r="132" spans="1:13" x14ac:dyDescent="0.3">
      <c r="A132" t="s">
        <v>114</v>
      </c>
      <c r="B132" t="s">
        <v>96</v>
      </c>
      <c r="C132" s="4" t="s">
        <v>320</v>
      </c>
      <c r="D132" t="s">
        <v>16</v>
      </c>
      <c r="E132" t="s">
        <v>11</v>
      </c>
      <c r="F132">
        <v>1</v>
      </c>
      <c r="G132">
        <v>52111</v>
      </c>
      <c r="H132" t="s">
        <v>17</v>
      </c>
      <c r="I132" t="s">
        <v>25</v>
      </c>
      <c r="J132" t="str">
        <f t="shared" si="9"/>
        <v>Cash</v>
      </c>
      <c r="K132" t="s">
        <v>21</v>
      </c>
      <c r="L132">
        <f t="shared" si="7"/>
        <v>52111</v>
      </c>
      <c r="M132" t="str">
        <f t="shared" si="8"/>
        <v>11</v>
      </c>
    </row>
    <row r="133" spans="1:13" x14ac:dyDescent="0.3">
      <c r="A133" t="s">
        <v>116</v>
      </c>
      <c r="B133" t="s">
        <v>96</v>
      </c>
      <c r="C133" s="4" t="s">
        <v>327</v>
      </c>
      <c r="D133" t="s">
        <v>22</v>
      </c>
      <c r="E133" t="s">
        <v>23</v>
      </c>
      <c r="F133">
        <v>3</v>
      </c>
      <c r="G133">
        <v>711</v>
      </c>
      <c r="H133" t="s">
        <v>37</v>
      </c>
      <c r="I133" t="s">
        <v>32</v>
      </c>
      <c r="J133" t="str">
        <f t="shared" si="9"/>
        <v>Net Banking</v>
      </c>
      <c r="K133" t="s">
        <v>18</v>
      </c>
      <c r="L133">
        <f t="shared" si="7"/>
        <v>2133</v>
      </c>
      <c r="M133" t="str">
        <f t="shared" si="8"/>
        <v>11</v>
      </c>
    </row>
    <row r="134" spans="1:13" x14ac:dyDescent="0.3">
      <c r="A134" t="s">
        <v>117</v>
      </c>
      <c r="B134" t="s">
        <v>212</v>
      </c>
      <c r="C134" s="4" t="s">
        <v>312</v>
      </c>
      <c r="D134" t="s">
        <v>22</v>
      </c>
      <c r="E134" t="s">
        <v>23</v>
      </c>
      <c r="F134">
        <v>2</v>
      </c>
      <c r="G134">
        <v>1111</v>
      </c>
      <c r="H134" t="s">
        <v>64</v>
      </c>
      <c r="I134" t="s">
        <v>14</v>
      </c>
      <c r="J134" t="str">
        <f t="shared" si="9"/>
        <v>Credit Card</v>
      </c>
      <c r="K134" t="s">
        <v>15</v>
      </c>
      <c r="L134">
        <f t="shared" si="7"/>
        <v>2222</v>
      </c>
      <c r="M134" t="str">
        <f t="shared" si="8"/>
        <v>11</v>
      </c>
    </row>
    <row r="135" spans="1:13" x14ac:dyDescent="0.3">
      <c r="A135" t="s">
        <v>119</v>
      </c>
      <c r="B135" t="s">
        <v>179</v>
      </c>
      <c r="C135" s="4" t="s">
        <v>350</v>
      </c>
      <c r="D135" t="s">
        <v>30</v>
      </c>
      <c r="E135" t="s">
        <v>31</v>
      </c>
      <c r="F135">
        <v>3</v>
      </c>
      <c r="G135">
        <v>2511</v>
      </c>
      <c r="H135" t="s">
        <v>67</v>
      </c>
      <c r="I135" t="s">
        <v>32</v>
      </c>
      <c r="J135" t="str">
        <f t="shared" si="9"/>
        <v>Net Banking</v>
      </c>
      <c r="K135" t="s">
        <v>18</v>
      </c>
      <c r="L135">
        <f t="shared" si="7"/>
        <v>7533</v>
      </c>
      <c r="M135" t="str">
        <f t="shared" si="8"/>
        <v>12</v>
      </c>
    </row>
    <row r="136" spans="1:13" x14ac:dyDescent="0.3">
      <c r="A136" t="s">
        <v>121</v>
      </c>
      <c r="B136" t="s">
        <v>88</v>
      </c>
      <c r="C136" s="4" t="s">
        <v>324</v>
      </c>
      <c r="D136" t="s">
        <v>30</v>
      </c>
      <c r="E136" t="s">
        <v>31</v>
      </c>
      <c r="F136">
        <v>4</v>
      </c>
      <c r="G136">
        <v>9111</v>
      </c>
      <c r="H136" t="s">
        <v>24</v>
      </c>
      <c r="I136" t="s">
        <v>32</v>
      </c>
      <c r="J136" t="str">
        <f t="shared" si="9"/>
        <v>Net Banking</v>
      </c>
      <c r="K136" t="s">
        <v>18</v>
      </c>
      <c r="L136">
        <f t="shared" si="7"/>
        <v>36444</v>
      </c>
      <c r="M136" t="str">
        <f t="shared" si="8"/>
        <v>14</v>
      </c>
    </row>
    <row r="137" spans="1:13" x14ac:dyDescent="0.3">
      <c r="A137" t="s">
        <v>122</v>
      </c>
      <c r="B137" t="s">
        <v>212</v>
      </c>
      <c r="C137" s="4" t="s">
        <v>364</v>
      </c>
      <c r="D137" t="s">
        <v>28</v>
      </c>
      <c r="E137" t="s">
        <v>23</v>
      </c>
      <c r="F137">
        <v>3</v>
      </c>
      <c r="G137">
        <v>1211</v>
      </c>
      <c r="H137" t="s">
        <v>19</v>
      </c>
      <c r="I137" t="s">
        <v>38</v>
      </c>
      <c r="J137" t="str">
        <f t="shared" si="9"/>
        <v>Credit Card</v>
      </c>
      <c r="K137" t="s">
        <v>18</v>
      </c>
      <c r="L137">
        <f t="shared" si="7"/>
        <v>3633</v>
      </c>
      <c r="M137" t="str">
        <f t="shared" si="8"/>
        <v>13</v>
      </c>
    </row>
    <row r="138" spans="1:13" x14ac:dyDescent="0.3">
      <c r="A138" t="s">
        <v>124</v>
      </c>
      <c r="B138" t="s">
        <v>125</v>
      </c>
      <c r="C138" s="4" t="s">
        <v>396</v>
      </c>
      <c r="D138" t="s">
        <v>36</v>
      </c>
      <c r="E138" t="s">
        <v>23</v>
      </c>
      <c r="F138">
        <v>3</v>
      </c>
      <c r="G138">
        <v>1211</v>
      </c>
      <c r="H138" t="s">
        <v>24</v>
      </c>
      <c r="I138" t="s">
        <v>32</v>
      </c>
      <c r="J138" t="str">
        <f t="shared" si="9"/>
        <v>Net Banking</v>
      </c>
      <c r="K138" t="s">
        <v>21</v>
      </c>
      <c r="L138">
        <f t="shared" si="7"/>
        <v>3633</v>
      </c>
      <c r="M138" t="str">
        <f t="shared" si="8"/>
        <v>14</v>
      </c>
    </row>
    <row r="139" spans="1:13" x14ac:dyDescent="0.3">
      <c r="A139" t="s">
        <v>126</v>
      </c>
      <c r="B139" t="s">
        <v>189</v>
      </c>
      <c r="C139" s="4" t="s">
        <v>315</v>
      </c>
      <c r="D139" t="s">
        <v>22</v>
      </c>
      <c r="E139" t="s">
        <v>23</v>
      </c>
      <c r="F139">
        <v>2</v>
      </c>
      <c r="G139">
        <v>1111</v>
      </c>
      <c r="H139" t="s">
        <v>29</v>
      </c>
      <c r="I139" t="s">
        <v>25</v>
      </c>
      <c r="J139" t="str">
        <f t="shared" si="9"/>
        <v>Cash</v>
      </c>
      <c r="K139" t="s">
        <v>15</v>
      </c>
      <c r="L139">
        <f t="shared" si="7"/>
        <v>2222</v>
      </c>
      <c r="M139" t="str">
        <f t="shared" si="8"/>
        <v>12</v>
      </c>
    </row>
    <row r="140" spans="1:13" x14ac:dyDescent="0.3">
      <c r="A140" t="s">
        <v>128</v>
      </c>
      <c r="B140" t="s">
        <v>174</v>
      </c>
      <c r="C140" s="4" t="s">
        <v>397</v>
      </c>
      <c r="D140" t="s">
        <v>36</v>
      </c>
      <c r="E140" t="s">
        <v>23</v>
      </c>
      <c r="F140">
        <v>1</v>
      </c>
      <c r="G140">
        <v>3511</v>
      </c>
      <c r="H140" t="s">
        <v>37</v>
      </c>
      <c r="I140" t="s">
        <v>20</v>
      </c>
      <c r="J140" t="str">
        <f>PROPER(TRIM(I141))</f>
        <v>Net Banking</v>
      </c>
      <c r="K140" t="s">
        <v>21</v>
      </c>
      <c r="L140">
        <f t="shared" si="7"/>
        <v>3511</v>
      </c>
      <c r="M140" t="str">
        <f t="shared" si="8"/>
        <v>15</v>
      </c>
    </row>
    <row r="141" spans="1:13" x14ac:dyDescent="0.3">
      <c r="A141" t="s">
        <v>130</v>
      </c>
      <c r="B141" t="s">
        <v>162</v>
      </c>
      <c r="C141" s="4" t="s">
        <v>358</v>
      </c>
      <c r="D141" t="s">
        <v>28</v>
      </c>
      <c r="E141" t="s">
        <v>23</v>
      </c>
      <c r="F141">
        <v>1</v>
      </c>
      <c r="G141">
        <v>711</v>
      </c>
      <c r="H141" t="s">
        <v>24</v>
      </c>
      <c r="I141" t="s">
        <v>32</v>
      </c>
      <c r="J141" t="str">
        <f t="shared" si="9"/>
        <v>Net Banking</v>
      </c>
      <c r="K141" t="s">
        <v>21</v>
      </c>
      <c r="L141">
        <f t="shared" si="7"/>
        <v>711</v>
      </c>
      <c r="M141" t="str">
        <f t="shared" si="8"/>
        <v>11</v>
      </c>
    </row>
    <row r="142" spans="1:13" x14ac:dyDescent="0.3">
      <c r="A142" t="s">
        <v>130</v>
      </c>
      <c r="B142" t="s">
        <v>89</v>
      </c>
      <c r="C142" s="4" t="s">
        <v>398</v>
      </c>
      <c r="D142" t="s">
        <v>10</v>
      </c>
      <c r="E142" t="s">
        <v>11</v>
      </c>
      <c r="F142">
        <v>3</v>
      </c>
      <c r="G142">
        <v>42111</v>
      </c>
      <c r="H142" t="s">
        <v>17</v>
      </c>
      <c r="I142" t="s">
        <v>25</v>
      </c>
      <c r="J142" t="str">
        <f t="shared" si="9"/>
        <v>Cash</v>
      </c>
      <c r="K142" t="s">
        <v>21</v>
      </c>
      <c r="L142">
        <f t="shared" si="7"/>
        <v>126333</v>
      </c>
      <c r="M142" t="str">
        <f t="shared" si="8"/>
        <v>12</v>
      </c>
    </row>
    <row r="143" spans="1:13" x14ac:dyDescent="0.3">
      <c r="A143" t="s">
        <v>133</v>
      </c>
      <c r="B143" t="s">
        <v>109</v>
      </c>
      <c r="C143" s="4" t="s">
        <v>399</v>
      </c>
      <c r="D143" t="s">
        <v>22</v>
      </c>
      <c r="E143" t="s">
        <v>23</v>
      </c>
      <c r="F143">
        <v>2</v>
      </c>
      <c r="G143">
        <v>1111</v>
      </c>
      <c r="H143" t="s">
        <v>29</v>
      </c>
      <c r="I143" t="s">
        <v>20</v>
      </c>
      <c r="J143" t="str">
        <f t="shared" si="9"/>
        <v>Upi</v>
      </c>
      <c r="K143" t="s">
        <v>18</v>
      </c>
      <c r="L143">
        <f t="shared" si="7"/>
        <v>2222</v>
      </c>
      <c r="M143" t="str">
        <f t="shared" si="8"/>
        <v>18</v>
      </c>
    </row>
    <row r="144" spans="1:13" x14ac:dyDescent="0.3">
      <c r="A144" t="s">
        <v>135</v>
      </c>
      <c r="B144" t="s">
        <v>92</v>
      </c>
      <c r="C144" s="4" t="s">
        <v>399</v>
      </c>
      <c r="D144" t="s">
        <v>10</v>
      </c>
      <c r="E144" t="s">
        <v>11</v>
      </c>
      <c r="F144">
        <v>2</v>
      </c>
      <c r="G144">
        <v>42111</v>
      </c>
      <c r="H144" t="s">
        <v>24</v>
      </c>
      <c r="I144" t="s">
        <v>27</v>
      </c>
      <c r="J144" t="str">
        <f t="shared" si="9"/>
        <v>Debit Card</v>
      </c>
      <c r="K144" t="s">
        <v>18</v>
      </c>
      <c r="L144">
        <f t="shared" si="7"/>
        <v>84222</v>
      </c>
      <c r="M144" t="str">
        <f t="shared" si="8"/>
        <v>18</v>
      </c>
    </row>
    <row r="145" spans="1:13" x14ac:dyDescent="0.3">
      <c r="A145" t="s">
        <v>137</v>
      </c>
      <c r="B145" t="s">
        <v>213</v>
      </c>
      <c r="C145" s="4" t="s">
        <v>377</v>
      </c>
      <c r="D145" t="s">
        <v>16</v>
      </c>
      <c r="E145" t="s">
        <v>11</v>
      </c>
      <c r="F145">
        <v>3</v>
      </c>
      <c r="G145">
        <v>61111</v>
      </c>
      <c r="H145" t="s">
        <v>24</v>
      </c>
      <c r="I145" t="s">
        <v>20</v>
      </c>
      <c r="J145" t="str">
        <f t="shared" si="9"/>
        <v>Upi</v>
      </c>
      <c r="K145" t="s">
        <v>21</v>
      </c>
      <c r="L145">
        <f t="shared" si="7"/>
        <v>183333</v>
      </c>
      <c r="M145" t="str">
        <f t="shared" si="8"/>
        <v>17</v>
      </c>
    </row>
    <row r="146" spans="1:13" x14ac:dyDescent="0.3">
      <c r="A146" t="s">
        <v>139</v>
      </c>
      <c r="B146" t="s">
        <v>123</v>
      </c>
      <c r="C146" s="4" t="s">
        <v>386</v>
      </c>
      <c r="D146" t="s">
        <v>22</v>
      </c>
      <c r="E146" t="s">
        <v>23</v>
      </c>
      <c r="F146">
        <v>3</v>
      </c>
      <c r="G146">
        <v>411</v>
      </c>
      <c r="H146" t="s">
        <v>35</v>
      </c>
      <c r="I146" t="s">
        <v>32</v>
      </c>
      <c r="J146" t="str">
        <f t="shared" si="9"/>
        <v>Net Banking</v>
      </c>
      <c r="K146" t="s">
        <v>21</v>
      </c>
      <c r="L146">
        <f t="shared" si="7"/>
        <v>1233</v>
      </c>
      <c r="M146" t="str">
        <f t="shared" si="8"/>
        <v>12</v>
      </c>
    </row>
    <row r="147" spans="1:13" x14ac:dyDescent="0.3">
      <c r="A147" t="s">
        <v>141</v>
      </c>
      <c r="B147" t="s">
        <v>125</v>
      </c>
      <c r="C147" s="4" t="s">
        <v>358</v>
      </c>
      <c r="D147" t="s">
        <v>28</v>
      </c>
      <c r="E147" t="s">
        <v>23</v>
      </c>
      <c r="F147">
        <v>2</v>
      </c>
      <c r="G147">
        <v>711</v>
      </c>
      <c r="H147" t="s">
        <v>66</v>
      </c>
      <c r="I147" t="s">
        <v>14</v>
      </c>
      <c r="J147" t="str">
        <f t="shared" si="9"/>
        <v>Credit Card</v>
      </c>
      <c r="K147" t="s">
        <v>18</v>
      </c>
      <c r="L147">
        <f t="shared" si="7"/>
        <v>1422</v>
      </c>
      <c r="M147" t="str">
        <f t="shared" si="8"/>
        <v>11</v>
      </c>
    </row>
    <row r="148" spans="1:13" x14ac:dyDescent="0.3">
      <c r="A148" t="s">
        <v>142</v>
      </c>
      <c r="B148" t="s">
        <v>214</v>
      </c>
      <c r="C148" s="4" t="s">
        <v>400</v>
      </c>
      <c r="D148" t="s">
        <v>30</v>
      </c>
      <c r="E148" t="s">
        <v>31</v>
      </c>
      <c r="F148">
        <v>1</v>
      </c>
      <c r="G148">
        <v>4111</v>
      </c>
      <c r="H148" t="s">
        <v>35</v>
      </c>
      <c r="I148" t="s">
        <v>32</v>
      </c>
      <c r="J148" t="str">
        <f t="shared" si="9"/>
        <v>Net Banking</v>
      </c>
      <c r="K148" t="s">
        <v>15</v>
      </c>
      <c r="L148">
        <f t="shared" si="7"/>
        <v>4111</v>
      </c>
      <c r="M148" t="str">
        <f t="shared" si="8"/>
        <v>19</v>
      </c>
    </row>
    <row r="149" spans="1:13" x14ac:dyDescent="0.3">
      <c r="A149" t="s">
        <v>144</v>
      </c>
      <c r="B149" t="s">
        <v>158</v>
      </c>
      <c r="C149" s="4" t="s">
        <v>337</v>
      </c>
      <c r="D149" t="s">
        <v>30</v>
      </c>
      <c r="E149" t="s">
        <v>31</v>
      </c>
      <c r="F149">
        <v>3</v>
      </c>
      <c r="G149">
        <v>2511</v>
      </c>
      <c r="H149" t="s">
        <v>13</v>
      </c>
      <c r="I149" t="s">
        <v>32</v>
      </c>
      <c r="J149" t="str">
        <f t="shared" si="9"/>
        <v>Net Banking</v>
      </c>
      <c r="K149" t="s">
        <v>15</v>
      </c>
      <c r="L149">
        <f t="shared" si="7"/>
        <v>7533</v>
      </c>
      <c r="M149" t="str">
        <f t="shared" si="8"/>
        <v>18</v>
      </c>
    </row>
    <row r="150" spans="1:13" x14ac:dyDescent="0.3">
      <c r="A150" t="s">
        <v>145</v>
      </c>
      <c r="B150" t="s">
        <v>76</v>
      </c>
      <c r="C150" s="4" t="s">
        <v>401</v>
      </c>
      <c r="D150" t="s">
        <v>10</v>
      </c>
      <c r="E150" t="s">
        <v>11</v>
      </c>
      <c r="F150">
        <v>4</v>
      </c>
      <c r="G150">
        <v>31111</v>
      </c>
      <c r="H150" t="s">
        <v>19</v>
      </c>
      <c r="I150" t="s">
        <v>20</v>
      </c>
      <c r="J150" t="str">
        <f>PROPER(TRIM(I151))</f>
        <v>Net Banking</v>
      </c>
      <c r="K150" t="s">
        <v>21</v>
      </c>
      <c r="L150">
        <f t="shared" si="7"/>
        <v>124444</v>
      </c>
      <c r="M150" t="str">
        <f t="shared" si="8"/>
        <v>18</v>
      </c>
    </row>
    <row r="151" spans="1:13" x14ac:dyDescent="0.3">
      <c r="A151" t="s">
        <v>147</v>
      </c>
      <c r="B151" t="s">
        <v>78</v>
      </c>
      <c r="C151" s="4" t="s">
        <v>355</v>
      </c>
      <c r="D151" t="s">
        <v>36</v>
      </c>
      <c r="E151" t="s">
        <v>23</v>
      </c>
      <c r="F151">
        <v>3</v>
      </c>
      <c r="G151">
        <v>3511</v>
      </c>
      <c r="H151" t="s">
        <v>19</v>
      </c>
      <c r="I151" t="s">
        <v>32</v>
      </c>
      <c r="J151" t="str">
        <f t="shared" si="9"/>
        <v>Net Banking</v>
      </c>
      <c r="K151" t="s">
        <v>18</v>
      </c>
      <c r="L151">
        <f t="shared" si="7"/>
        <v>10533</v>
      </c>
      <c r="M151" t="str">
        <f t="shared" si="8"/>
        <v>16</v>
      </c>
    </row>
    <row r="152" spans="1:13" x14ac:dyDescent="0.3">
      <c r="A152" t="s">
        <v>147</v>
      </c>
      <c r="B152" t="s">
        <v>101</v>
      </c>
      <c r="C152" s="4" t="s">
        <v>320</v>
      </c>
      <c r="D152" t="s">
        <v>28</v>
      </c>
      <c r="E152" t="s">
        <v>23</v>
      </c>
      <c r="F152">
        <v>2</v>
      </c>
      <c r="G152">
        <v>1211</v>
      </c>
      <c r="H152" t="s">
        <v>37</v>
      </c>
      <c r="I152" t="s">
        <v>14</v>
      </c>
      <c r="J152" t="str">
        <f t="shared" si="9"/>
        <v>Credit Card</v>
      </c>
      <c r="K152" t="s">
        <v>15</v>
      </c>
      <c r="L152">
        <f t="shared" si="7"/>
        <v>2422</v>
      </c>
      <c r="M152" t="str">
        <f t="shared" si="8"/>
        <v>11</v>
      </c>
    </row>
    <row r="153" spans="1:13" x14ac:dyDescent="0.3">
      <c r="A153" t="s">
        <v>150</v>
      </c>
      <c r="B153" t="s">
        <v>123</v>
      </c>
      <c r="C153" s="4" t="s">
        <v>402</v>
      </c>
      <c r="D153" t="s">
        <v>10</v>
      </c>
      <c r="E153" t="s">
        <v>11</v>
      </c>
      <c r="F153">
        <v>1</v>
      </c>
      <c r="G153">
        <v>42111</v>
      </c>
      <c r="H153" t="s">
        <v>67</v>
      </c>
      <c r="I153" t="s">
        <v>20</v>
      </c>
      <c r="J153" t="str">
        <f t="shared" si="9"/>
        <v>Upi</v>
      </c>
      <c r="K153" t="s">
        <v>15</v>
      </c>
      <c r="L153">
        <f t="shared" si="7"/>
        <v>42111</v>
      </c>
      <c r="M153" t="str">
        <f t="shared" si="8"/>
        <v>14</v>
      </c>
    </row>
    <row r="154" spans="1:13" x14ac:dyDescent="0.3">
      <c r="A154" t="s">
        <v>152</v>
      </c>
      <c r="B154" t="s">
        <v>179</v>
      </c>
      <c r="C154" s="4" t="s">
        <v>340</v>
      </c>
      <c r="D154" t="s">
        <v>22</v>
      </c>
      <c r="E154" t="s">
        <v>23</v>
      </c>
      <c r="F154">
        <v>2</v>
      </c>
      <c r="G154">
        <v>411</v>
      </c>
      <c r="H154" t="s">
        <v>17</v>
      </c>
      <c r="I154" t="s">
        <v>25</v>
      </c>
      <c r="J154" t="str">
        <f t="shared" si="9"/>
        <v>Cash</v>
      </c>
      <c r="K154" t="s">
        <v>21</v>
      </c>
      <c r="L154">
        <f t="shared" si="7"/>
        <v>822</v>
      </c>
      <c r="M154" t="str">
        <f t="shared" si="8"/>
        <v>15</v>
      </c>
    </row>
    <row r="155" spans="1:13" x14ac:dyDescent="0.3">
      <c r="A155" t="s">
        <v>153</v>
      </c>
      <c r="B155" t="s">
        <v>215</v>
      </c>
      <c r="C155" s="4" t="s">
        <v>403</v>
      </c>
      <c r="D155" t="s">
        <v>30</v>
      </c>
      <c r="E155" t="s">
        <v>31</v>
      </c>
      <c r="F155">
        <v>1</v>
      </c>
      <c r="G155">
        <v>6511</v>
      </c>
      <c r="H155" t="s">
        <v>35</v>
      </c>
      <c r="I155" t="s">
        <v>14</v>
      </c>
      <c r="J155" t="str">
        <f t="shared" si="9"/>
        <v>Credit Card</v>
      </c>
      <c r="K155" t="s">
        <v>15</v>
      </c>
      <c r="L155">
        <f t="shared" si="7"/>
        <v>6511</v>
      </c>
      <c r="M155" t="str">
        <f t="shared" si="8"/>
        <v>17</v>
      </c>
    </row>
    <row r="156" spans="1:13" x14ac:dyDescent="0.3">
      <c r="A156" t="s">
        <v>154</v>
      </c>
      <c r="B156" t="s">
        <v>99</v>
      </c>
      <c r="C156" s="4" t="s">
        <v>404</v>
      </c>
      <c r="D156" t="s">
        <v>22</v>
      </c>
      <c r="E156" t="s">
        <v>23</v>
      </c>
      <c r="F156">
        <v>2</v>
      </c>
      <c r="G156">
        <v>1111</v>
      </c>
      <c r="H156" t="s">
        <v>29</v>
      </c>
      <c r="I156" t="s">
        <v>20</v>
      </c>
      <c r="J156" t="str">
        <f t="shared" si="9"/>
        <v>Upi</v>
      </c>
      <c r="K156" t="s">
        <v>18</v>
      </c>
      <c r="L156">
        <f t="shared" si="7"/>
        <v>2222</v>
      </c>
      <c r="M156" t="str">
        <f t="shared" si="8"/>
        <v>15</v>
      </c>
    </row>
    <row r="157" spans="1:13" x14ac:dyDescent="0.3">
      <c r="A157" t="s">
        <v>156</v>
      </c>
      <c r="B157" t="s">
        <v>216</v>
      </c>
      <c r="C157" s="4" t="s">
        <v>405</v>
      </c>
      <c r="D157" t="s">
        <v>26</v>
      </c>
      <c r="E157" t="s">
        <v>11</v>
      </c>
      <c r="F157">
        <v>1</v>
      </c>
      <c r="G157">
        <v>9111</v>
      </c>
      <c r="H157" t="s">
        <v>67</v>
      </c>
      <c r="I157" t="s">
        <v>25</v>
      </c>
      <c r="J157" t="str">
        <f t="shared" si="9"/>
        <v>Cash</v>
      </c>
      <c r="K157" t="s">
        <v>15</v>
      </c>
      <c r="L157">
        <f t="shared" si="7"/>
        <v>9111</v>
      </c>
      <c r="M157" t="str">
        <f t="shared" si="8"/>
        <v>11</v>
      </c>
    </row>
    <row r="158" spans="1:13" x14ac:dyDescent="0.3">
      <c r="A158" t="s">
        <v>157</v>
      </c>
      <c r="B158" t="s">
        <v>210</v>
      </c>
      <c r="C158" s="4" t="s">
        <v>406</v>
      </c>
      <c r="D158" t="s">
        <v>26</v>
      </c>
      <c r="E158" t="s">
        <v>11</v>
      </c>
      <c r="F158">
        <v>3</v>
      </c>
      <c r="G158">
        <v>22111</v>
      </c>
      <c r="H158" t="s">
        <v>29</v>
      </c>
      <c r="I158" t="s">
        <v>27</v>
      </c>
      <c r="J158" t="str">
        <f t="shared" si="9"/>
        <v>Debit Card</v>
      </c>
      <c r="K158" t="s">
        <v>18</v>
      </c>
      <c r="L158">
        <f t="shared" si="7"/>
        <v>66333</v>
      </c>
      <c r="M158" t="str">
        <f t="shared" si="8"/>
        <v>17</v>
      </c>
    </row>
    <row r="159" spans="1:13" x14ac:dyDescent="0.3">
      <c r="A159" t="s">
        <v>159</v>
      </c>
      <c r="B159" t="s">
        <v>99</v>
      </c>
      <c r="C159" s="4" t="s">
        <v>407</v>
      </c>
      <c r="D159" t="s">
        <v>30</v>
      </c>
      <c r="E159" t="s">
        <v>31</v>
      </c>
      <c r="F159">
        <v>3</v>
      </c>
      <c r="G159">
        <v>9111</v>
      </c>
      <c r="H159" t="s">
        <v>29</v>
      </c>
      <c r="I159" t="s">
        <v>27</v>
      </c>
      <c r="J159" t="str">
        <f t="shared" si="9"/>
        <v>Debit Card</v>
      </c>
      <c r="K159" t="s">
        <v>18</v>
      </c>
      <c r="L159">
        <f t="shared" si="7"/>
        <v>27333</v>
      </c>
      <c r="M159" t="str">
        <f t="shared" si="8"/>
        <v>16</v>
      </c>
    </row>
    <row r="160" spans="1:13" x14ac:dyDescent="0.3">
      <c r="A160" t="s">
        <v>160</v>
      </c>
      <c r="B160" t="s">
        <v>89</v>
      </c>
      <c r="C160" s="4" t="s">
        <v>392</v>
      </c>
      <c r="D160" t="s">
        <v>16</v>
      </c>
      <c r="E160" t="s">
        <v>11</v>
      </c>
      <c r="F160">
        <v>2</v>
      </c>
      <c r="G160">
        <v>52111</v>
      </c>
      <c r="H160" t="s">
        <v>67</v>
      </c>
      <c r="I160" t="s">
        <v>25</v>
      </c>
      <c r="J160" t="str">
        <f>PROPER(TRIM(I161))</f>
        <v>Net Banking</v>
      </c>
      <c r="K160" t="s">
        <v>21</v>
      </c>
      <c r="L160">
        <f t="shared" si="7"/>
        <v>104222</v>
      </c>
      <c r="M160" t="str">
        <f t="shared" si="8"/>
        <v>14</v>
      </c>
    </row>
    <row r="161" spans="1:13" x14ac:dyDescent="0.3">
      <c r="A161" t="s">
        <v>161</v>
      </c>
      <c r="B161" t="s">
        <v>87</v>
      </c>
      <c r="C161" s="4" t="s">
        <v>408</v>
      </c>
      <c r="D161" t="s">
        <v>28</v>
      </c>
      <c r="E161" t="s">
        <v>23</v>
      </c>
      <c r="F161">
        <v>4</v>
      </c>
      <c r="G161">
        <v>1811</v>
      </c>
      <c r="H161" t="s">
        <v>17</v>
      </c>
      <c r="I161" t="s">
        <v>32</v>
      </c>
      <c r="J161" t="str">
        <f t="shared" si="9"/>
        <v>Net Banking</v>
      </c>
      <c r="K161" t="s">
        <v>18</v>
      </c>
      <c r="L161">
        <f t="shared" si="7"/>
        <v>7244</v>
      </c>
      <c r="M161" t="str">
        <f t="shared" si="8"/>
        <v>16</v>
      </c>
    </row>
    <row r="162" spans="1:13" x14ac:dyDescent="0.3">
      <c r="A162" t="s">
        <v>161</v>
      </c>
      <c r="B162" t="s">
        <v>217</v>
      </c>
      <c r="C162" s="4" t="s">
        <v>409</v>
      </c>
      <c r="D162" t="s">
        <v>36</v>
      </c>
      <c r="E162" t="s">
        <v>23</v>
      </c>
      <c r="F162">
        <v>1</v>
      </c>
      <c r="G162">
        <v>1211</v>
      </c>
      <c r="H162" t="s">
        <v>37</v>
      </c>
      <c r="I162" t="s">
        <v>14</v>
      </c>
      <c r="J162" t="str">
        <f t="shared" si="9"/>
        <v>Credit Card</v>
      </c>
      <c r="K162" t="s">
        <v>21</v>
      </c>
      <c r="L162">
        <f t="shared" si="7"/>
        <v>1211</v>
      </c>
      <c r="M162" t="str">
        <f t="shared" si="8"/>
        <v>12</v>
      </c>
    </row>
    <row r="163" spans="1:13" x14ac:dyDescent="0.3">
      <c r="A163" t="s">
        <v>163</v>
      </c>
      <c r="B163" t="s">
        <v>216</v>
      </c>
      <c r="C163" s="4" t="s">
        <v>410</v>
      </c>
      <c r="D163" t="s">
        <v>30</v>
      </c>
      <c r="E163" t="s">
        <v>31</v>
      </c>
      <c r="F163">
        <v>3</v>
      </c>
      <c r="G163">
        <v>2511</v>
      </c>
      <c r="H163" t="s">
        <v>24</v>
      </c>
      <c r="I163" t="s">
        <v>32</v>
      </c>
      <c r="J163" t="str">
        <f t="shared" si="9"/>
        <v>Net Banking</v>
      </c>
      <c r="K163" t="s">
        <v>18</v>
      </c>
      <c r="L163">
        <f t="shared" si="7"/>
        <v>7533</v>
      </c>
      <c r="M163" t="str">
        <f t="shared" si="8"/>
        <v>19</v>
      </c>
    </row>
    <row r="164" spans="1:13" x14ac:dyDescent="0.3">
      <c r="A164" t="s">
        <v>164</v>
      </c>
      <c r="B164" t="s">
        <v>138</v>
      </c>
      <c r="C164" s="4" t="s">
        <v>389</v>
      </c>
      <c r="D164" t="s">
        <v>16</v>
      </c>
      <c r="E164" t="s">
        <v>11</v>
      </c>
      <c r="F164">
        <v>4</v>
      </c>
      <c r="G164">
        <v>52111</v>
      </c>
      <c r="H164" t="s">
        <v>19</v>
      </c>
      <c r="I164" t="s">
        <v>20</v>
      </c>
      <c r="J164" t="str">
        <f t="shared" si="9"/>
        <v>Upi</v>
      </c>
      <c r="K164" t="s">
        <v>18</v>
      </c>
      <c r="L164">
        <f t="shared" si="7"/>
        <v>208444</v>
      </c>
      <c r="M164" t="str">
        <f t="shared" si="8"/>
        <v>17</v>
      </c>
    </row>
    <row r="165" spans="1:13" x14ac:dyDescent="0.3">
      <c r="A165" t="s">
        <v>165</v>
      </c>
      <c r="B165" t="s">
        <v>76</v>
      </c>
      <c r="C165" s="4" t="s">
        <v>411</v>
      </c>
      <c r="D165" t="s">
        <v>34</v>
      </c>
      <c r="E165" t="s">
        <v>11</v>
      </c>
      <c r="F165">
        <v>4</v>
      </c>
      <c r="G165">
        <v>12111</v>
      </c>
      <c r="H165" t="s">
        <v>35</v>
      </c>
      <c r="I165" t="s">
        <v>20</v>
      </c>
      <c r="J165" t="str">
        <f t="shared" si="9"/>
        <v>Upi</v>
      </c>
      <c r="K165" t="s">
        <v>21</v>
      </c>
      <c r="L165">
        <f t="shared" si="7"/>
        <v>48444</v>
      </c>
      <c r="M165" t="str">
        <f t="shared" si="8"/>
        <v>17</v>
      </c>
    </row>
    <row r="166" spans="1:13" x14ac:dyDescent="0.3">
      <c r="A166" t="s">
        <v>167</v>
      </c>
      <c r="B166" t="s">
        <v>155</v>
      </c>
      <c r="C166" s="4" t="s">
        <v>324</v>
      </c>
      <c r="D166" t="s">
        <v>16</v>
      </c>
      <c r="E166" t="s">
        <v>11</v>
      </c>
      <c r="F166">
        <v>2</v>
      </c>
      <c r="G166">
        <v>45111</v>
      </c>
      <c r="H166" t="s">
        <v>35</v>
      </c>
      <c r="I166" t="s">
        <v>27</v>
      </c>
      <c r="J166" t="str">
        <f t="shared" si="9"/>
        <v>Debit Card</v>
      </c>
      <c r="K166" t="s">
        <v>15</v>
      </c>
      <c r="L166">
        <f t="shared" si="7"/>
        <v>90222</v>
      </c>
      <c r="M166" t="str">
        <f t="shared" si="8"/>
        <v>14</v>
      </c>
    </row>
    <row r="167" spans="1:13" x14ac:dyDescent="0.3">
      <c r="A167" t="s">
        <v>168</v>
      </c>
      <c r="B167" t="s">
        <v>217</v>
      </c>
      <c r="C167" s="4" t="s">
        <v>407</v>
      </c>
      <c r="D167" t="s">
        <v>10</v>
      </c>
      <c r="E167" t="s">
        <v>11</v>
      </c>
      <c r="F167">
        <v>3</v>
      </c>
      <c r="G167">
        <v>22111</v>
      </c>
      <c r="H167" t="s">
        <v>67</v>
      </c>
      <c r="I167" t="s">
        <v>32</v>
      </c>
      <c r="J167" t="str">
        <f t="shared" si="9"/>
        <v>Net Banking</v>
      </c>
      <c r="K167" t="s">
        <v>18</v>
      </c>
      <c r="L167">
        <f t="shared" si="7"/>
        <v>66333</v>
      </c>
      <c r="M167" t="str">
        <f t="shared" si="8"/>
        <v>16</v>
      </c>
    </row>
    <row r="168" spans="1:13" x14ac:dyDescent="0.3">
      <c r="A168" t="s">
        <v>169</v>
      </c>
      <c r="B168" t="s">
        <v>111</v>
      </c>
      <c r="C168" s="4" t="s">
        <v>313</v>
      </c>
      <c r="D168" t="s">
        <v>26</v>
      </c>
      <c r="E168" t="s">
        <v>11</v>
      </c>
      <c r="F168">
        <v>4</v>
      </c>
      <c r="G168">
        <v>22111</v>
      </c>
      <c r="H168" t="s">
        <v>19</v>
      </c>
      <c r="I168" t="s">
        <v>27</v>
      </c>
      <c r="J168" t="str">
        <f t="shared" si="9"/>
        <v>Debit Card</v>
      </c>
      <c r="K168" t="s">
        <v>15</v>
      </c>
      <c r="L168">
        <f t="shared" si="7"/>
        <v>88444</v>
      </c>
      <c r="M168" t="str">
        <f t="shared" si="8"/>
        <v>16</v>
      </c>
    </row>
    <row r="169" spans="1:13" x14ac:dyDescent="0.3">
      <c r="A169" t="s">
        <v>170</v>
      </c>
      <c r="B169" t="s">
        <v>101</v>
      </c>
      <c r="C169" s="4" t="s">
        <v>381</v>
      </c>
      <c r="D169" t="s">
        <v>22</v>
      </c>
      <c r="E169" t="s">
        <v>23</v>
      </c>
      <c r="F169">
        <v>4</v>
      </c>
      <c r="G169">
        <v>711</v>
      </c>
      <c r="H169" t="s">
        <v>24</v>
      </c>
      <c r="I169" t="s">
        <v>14</v>
      </c>
      <c r="J169" t="str">
        <f t="shared" si="9"/>
        <v>Credit Card</v>
      </c>
      <c r="K169" t="s">
        <v>21</v>
      </c>
      <c r="L169">
        <f t="shared" si="7"/>
        <v>2844</v>
      </c>
      <c r="M169" t="str">
        <f t="shared" si="8"/>
        <v>12</v>
      </c>
    </row>
    <row r="170" spans="1:13" x14ac:dyDescent="0.3">
      <c r="A170" t="s">
        <v>171</v>
      </c>
      <c r="B170" t="s">
        <v>70</v>
      </c>
      <c r="C170" s="4" t="s">
        <v>411</v>
      </c>
      <c r="D170" t="s">
        <v>10</v>
      </c>
      <c r="E170" t="s">
        <v>11</v>
      </c>
      <c r="F170">
        <v>1</v>
      </c>
      <c r="G170">
        <v>22111</v>
      </c>
      <c r="H170" t="s">
        <v>13</v>
      </c>
      <c r="I170" t="s">
        <v>20</v>
      </c>
      <c r="J170" t="str">
        <f>PROPER(TRIM(I171))</f>
        <v>Debit Card</v>
      </c>
      <c r="K170" t="s">
        <v>18</v>
      </c>
      <c r="L170">
        <f t="shared" si="7"/>
        <v>22111</v>
      </c>
      <c r="M170" t="str">
        <f t="shared" si="8"/>
        <v>17</v>
      </c>
    </row>
    <row r="171" spans="1:13" x14ac:dyDescent="0.3">
      <c r="A171" t="s">
        <v>172</v>
      </c>
      <c r="B171" t="s">
        <v>70</v>
      </c>
      <c r="C171" s="4" t="s">
        <v>412</v>
      </c>
      <c r="D171" t="s">
        <v>30</v>
      </c>
      <c r="E171" t="s">
        <v>31</v>
      </c>
      <c r="F171">
        <v>3</v>
      </c>
      <c r="G171">
        <v>9111</v>
      </c>
      <c r="H171" t="s">
        <v>65</v>
      </c>
      <c r="I171" t="s">
        <v>27</v>
      </c>
      <c r="J171" t="str">
        <f t="shared" si="9"/>
        <v>Debit Card</v>
      </c>
      <c r="K171" t="s">
        <v>21</v>
      </c>
      <c r="L171">
        <f t="shared" si="7"/>
        <v>27333</v>
      </c>
      <c r="M171" t="str">
        <f t="shared" si="8"/>
        <v>12</v>
      </c>
    </row>
    <row r="172" spans="1:13" x14ac:dyDescent="0.3">
      <c r="A172" t="s">
        <v>172</v>
      </c>
      <c r="B172" t="s">
        <v>76</v>
      </c>
      <c r="C172" s="4" t="s">
        <v>325</v>
      </c>
      <c r="D172" t="s">
        <v>10</v>
      </c>
      <c r="E172" t="s">
        <v>11</v>
      </c>
      <c r="F172">
        <v>3</v>
      </c>
      <c r="G172">
        <v>15111</v>
      </c>
      <c r="H172" t="s">
        <v>17</v>
      </c>
      <c r="I172" t="s">
        <v>14</v>
      </c>
      <c r="J172" t="str">
        <f t="shared" si="9"/>
        <v>Credit Card</v>
      </c>
      <c r="K172" t="s">
        <v>18</v>
      </c>
      <c r="L172">
        <f t="shared" si="7"/>
        <v>45333</v>
      </c>
      <c r="M172" t="str">
        <f t="shared" si="8"/>
        <v>12</v>
      </c>
    </row>
    <row r="173" spans="1:13" x14ac:dyDescent="0.3">
      <c r="A173" t="s">
        <v>175</v>
      </c>
      <c r="B173" t="s">
        <v>118</v>
      </c>
      <c r="C173" s="4" t="s">
        <v>391</v>
      </c>
      <c r="D173" t="s">
        <v>22</v>
      </c>
      <c r="E173" t="s">
        <v>23</v>
      </c>
      <c r="F173">
        <v>3</v>
      </c>
      <c r="G173">
        <v>711</v>
      </c>
      <c r="H173" t="s">
        <v>29</v>
      </c>
      <c r="I173" t="s">
        <v>27</v>
      </c>
      <c r="J173" t="str">
        <f t="shared" si="9"/>
        <v>Debit Card</v>
      </c>
      <c r="K173" t="s">
        <v>15</v>
      </c>
      <c r="L173">
        <f t="shared" si="7"/>
        <v>2133</v>
      </c>
      <c r="M173" t="str">
        <f t="shared" si="8"/>
        <v>19</v>
      </c>
    </row>
    <row r="174" spans="1:13" x14ac:dyDescent="0.3">
      <c r="A174" t="s">
        <v>176</v>
      </c>
      <c r="B174" t="s">
        <v>97</v>
      </c>
      <c r="C174" s="4" t="s">
        <v>378</v>
      </c>
      <c r="D174" t="s">
        <v>30</v>
      </c>
      <c r="E174" t="s">
        <v>31</v>
      </c>
      <c r="F174">
        <v>2</v>
      </c>
      <c r="G174">
        <v>9111</v>
      </c>
      <c r="H174" t="s">
        <v>29</v>
      </c>
      <c r="I174" t="s">
        <v>25</v>
      </c>
      <c r="J174" t="str">
        <f t="shared" si="9"/>
        <v>Cash</v>
      </c>
      <c r="K174" t="s">
        <v>21</v>
      </c>
      <c r="L174">
        <f t="shared" si="7"/>
        <v>18222</v>
      </c>
      <c r="M174" t="str">
        <f t="shared" si="8"/>
        <v>16</v>
      </c>
    </row>
    <row r="175" spans="1:13" x14ac:dyDescent="0.3">
      <c r="A175" t="s">
        <v>177</v>
      </c>
      <c r="B175" t="s">
        <v>211</v>
      </c>
      <c r="C175" s="4" t="s">
        <v>412</v>
      </c>
      <c r="D175" t="s">
        <v>36</v>
      </c>
      <c r="E175" t="s">
        <v>23</v>
      </c>
      <c r="F175">
        <v>3</v>
      </c>
      <c r="G175">
        <v>3511</v>
      </c>
      <c r="H175" t="s">
        <v>35</v>
      </c>
      <c r="I175" t="s">
        <v>32</v>
      </c>
      <c r="J175" t="str">
        <f t="shared" si="9"/>
        <v>Net Banking</v>
      </c>
      <c r="K175" t="s">
        <v>15</v>
      </c>
      <c r="L175">
        <f t="shared" si="7"/>
        <v>10533</v>
      </c>
      <c r="M175" t="str">
        <f t="shared" si="8"/>
        <v>12</v>
      </c>
    </row>
    <row r="176" spans="1:13" x14ac:dyDescent="0.3">
      <c r="A176" t="s">
        <v>178</v>
      </c>
      <c r="B176" t="s">
        <v>146</v>
      </c>
      <c r="C176" s="4" t="s">
        <v>413</v>
      </c>
      <c r="D176" t="s">
        <v>26</v>
      </c>
      <c r="E176" t="s">
        <v>11</v>
      </c>
      <c r="F176">
        <v>4</v>
      </c>
      <c r="G176">
        <v>12111</v>
      </c>
      <c r="H176" t="s">
        <v>67</v>
      </c>
      <c r="I176" t="s">
        <v>25</v>
      </c>
      <c r="J176" t="str">
        <f t="shared" si="9"/>
        <v>Cash</v>
      </c>
      <c r="K176" t="s">
        <v>18</v>
      </c>
      <c r="L176">
        <f t="shared" si="7"/>
        <v>48444</v>
      </c>
      <c r="M176" t="str">
        <f t="shared" si="8"/>
        <v>18</v>
      </c>
    </row>
    <row r="177" spans="1:13" x14ac:dyDescent="0.3">
      <c r="A177" t="s">
        <v>180</v>
      </c>
      <c r="B177" t="s">
        <v>120</v>
      </c>
      <c r="C177" s="4" t="s">
        <v>325</v>
      </c>
      <c r="D177" t="s">
        <v>10</v>
      </c>
      <c r="E177" t="s">
        <v>11</v>
      </c>
      <c r="F177">
        <v>4</v>
      </c>
      <c r="G177">
        <v>22111</v>
      </c>
      <c r="H177" t="s">
        <v>35</v>
      </c>
      <c r="I177" t="s">
        <v>39</v>
      </c>
      <c r="J177" t="str">
        <f t="shared" si="9"/>
        <v>Upi</v>
      </c>
      <c r="K177" t="s">
        <v>18</v>
      </c>
      <c r="L177">
        <f t="shared" si="7"/>
        <v>88444</v>
      </c>
      <c r="M177" t="str">
        <f t="shared" si="8"/>
        <v>12</v>
      </c>
    </row>
    <row r="178" spans="1:13" x14ac:dyDescent="0.3">
      <c r="A178" t="s">
        <v>182</v>
      </c>
      <c r="B178" t="s">
        <v>174</v>
      </c>
      <c r="C178" s="4" t="s">
        <v>329</v>
      </c>
      <c r="D178" t="s">
        <v>34</v>
      </c>
      <c r="E178" t="s">
        <v>11</v>
      </c>
      <c r="F178">
        <v>1</v>
      </c>
      <c r="G178">
        <v>18111</v>
      </c>
      <c r="H178" t="s">
        <v>19</v>
      </c>
      <c r="I178" t="s">
        <v>27</v>
      </c>
      <c r="J178" t="str">
        <f t="shared" si="9"/>
        <v>Debit Card</v>
      </c>
      <c r="K178" t="s">
        <v>18</v>
      </c>
      <c r="L178">
        <f t="shared" si="7"/>
        <v>18111</v>
      </c>
      <c r="M178" t="str">
        <f t="shared" si="8"/>
        <v>11</v>
      </c>
    </row>
    <row r="179" spans="1:13" x14ac:dyDescent="0.3">
      <c r="A179" t="s">
        <v>184</v>
      </c>
      <c r="B179" t="s">
        <v>78</v>
      </c>
      <c r="C179" s="4" t="s">
        <v>414</v>
      </c>
      <c r="D179" t="s">
        <v>10</v>
      </c>
      <c r="E179" t="s">
        <v>11</v>
      </c>
      <c r="F179">
        <v>1</v>
      </c>
      <c r="G179">
        <v>31111</v>
      </c>
      <c r="H179" t="s">
        <v>17</v>
      </c>
      <c r="I179" t="s">
        <v>27</v>
      </c>
      <c r="J179" t="str">
        <f t="shared" si="9"/>
        <v>Debit Card</v>
      </c>
      <c r="K179" t="s">
        <v>15</v>
      </c>
      <c r="L179">
        <f t="shared" si="7"/>
        <v>31111</v>
      </c>
      <c r="M179" t="str">
        <f t="shared" si="8"/>
        <v>17</v>
      </c>
    </row>
    <row r="180" spans="1:13" x14ac:dyDescent="0.3">
      <c r="A180" t="s">
        <v>185</v>
      </c>
      <c r="B180" t="s">
        <v>129</v>
      </c>
      <c r="C180" s="4" t="s">
        <v>415</v>
      </c>
      <c r="D180" t="s">
        <v>30</v>
      </c>
      <c r="E180" t="s">
        <v>31</v>
      </c>
      <c r="F180">
        <v>1</v>
      </c>
      <c r="G180">
        <v>6511</v>
      </c>
      <c r="H180" t="s">
        <v>67</v>
      </c>
      <c r="I180" t="s">
        <v>32</v>
      </c>
      <c r="J180" t="str">
        <f>PROPER(TRIM(I181))</f>
        <v>Credit Card</v>
      </c>
      <c r="K180" t="s">
        <v>18</v>
      </c>
      <c r="L180">
        <f t="shared" si="7"/>
        <v>6511</v>
      </c>
      <c r="M180" t="str">
        <f t="shared" si="8"/>
        <v>16</v>
      </c>
    </row>
    <row r="181" spans="1:13" x14ac:dyDescent="0.3">
      <c r="A181" t="s">
        <v>186</v>
      </c>
      <c r="B181" t="s">
        <v>148</v>
      </c>
      <c r="C181" s="4" t="s">
        <v>314</v>
      </c>
      <c r="D181" t="s">
        <v>26</v>
      </c>
      <c r="E181" t="s">
        <v>11</v>
      </c>
      <c r="F181">
        <v>4</v>
      </c>
      <c r="G181">
        <v>16111</v>
      </c>
      <c r="H181" t="s">
        <v>13</v>
      </c>
      <c r="I181" t="s">
        <v>14</v>
      </c>
      <c r="J181" t="str">
        <f t="shared" si="9"/>
        <v>Credit Card</v>
      </c>
      <c r="K181" t="s">
        <v>21</v>
      </c>
      <c r="L181">
        <f t="shared" si="7"/>
        <v>64444</v>
      </c>
      <c r="M181" t="str">
        <f t="shared" si="8"/>
        <v>11</v>
      </c>
    </row>
    <row r="182" spans="1:13" x14ac:dyDescent="0.3">
      <c r="A182" t="s">
        <v>186</v>
      </c>
      <c r="B182" t="s">
        <v>90</v>
      </c>
      <c r="C182" s="4" t="s">
        <v>416</v>
      </c>
      <c r="D182" t="s">
        <v>28</v>
      </c>
      <c r="E182" t="s">
        <v>23</v>
      </c>
      <c r="F182">
        <v>2</v>
      </c>
      <c r="G182">
        <v>1211</v>
      </c>
      <c r="H182" t="s">
        <v>19</v>
      </c>
      <c r="I182" t="s">
        <v>25</v>
      </c>
      <c r="J182" t="str">
        <f t="shared" si="9"/>
        <v>Cash</v>
      </c>
      <c r="K182" t="s">
        <v>15</v>
      </c>
      <c r="L182">
        <f t="shared" si="7"/>
        <v>2422</v>
      </c>
      <c r="M182" t="str">
        <f t="shared" si="8"/>
        <v>11</v>
      </c>
    </row>
    <row r="183" spans="1:13" x14ac:dyDescent="0.3">
      <c r="A183" t="s">
        <v>187</v>
      </c>
      <c r="B183" t="s">
        <v>70</v>
      </c>
      <c r="C183" s="4" t="s">
        <v>383</v>
      </c>
      <c r="D183" t="s">
        <v>28</v>
      </c>
      <c r="E183" t="s">
        <v>23</v>
      </c>
      <c r="F183">
        <v>4</v>
      </c>
      <c r="G183">
        <v>1811</v>
      </c>
      <c r="H183" t="s">
        <v>17</v>
      </c>
      <c r="I183" t="s">
        <v>27</v>
      </c>
      <c r="J183" t="str">
        <f t="shared" si="9"/>
        <v>Debit Card</v>
      </c>
      <c r="K183" t="s">
        <v>18</v>
      </c>
      <c r="L183">
        <f t="shared" si="7"/>
        <v>7244</v>
      </c>
      <c r="M183" t="str">
        <f t="shared" si="8"/>
        <v>11</v>
      </c>
    </row>
    <row r="184" spans="1:13" x14ac:dyDescent="0.3">
      <c r="A184" t="s">
        <v>188</v>
      </c>
      <c r="B184" t="s">
        <v>86</v>
      </c>
      <c r="C184" s="4" t="s">
        <v>405</v>
      </c>
      <c r="D184" t="s">
        <v>28</v>
      </c>
      <c r="E184" t="s">
        <v>23</v>
      </c>
      <c r="F184">
        <v>4</v>
      </c>
      <c r="G184">
        <v>1811</v>
      </c>
      <c r="H184" t="s">
        <v>29</v>
      </c>
      <c r="I184" t="s">
        <v>27</v>
      </c>
      <c r="J184" t="str">
        <f t="shared" si="9"/>
        <v>Debit Card</v>
      </c>
      <c r="K184" t="s">
        <v>18</v>
      </c>
      <c r="L184">
        <f t="shared" si="7"/>
        <v>7244</v>
      </c>
      <c r="M184" t="str">
        <f t="shared" si="8"/>
        <v>11</v>
      </c>
    </row>
    <row r="185" spans="1:13" x14ac:dyDescent="0.3">
      <c r="A185" t="s">
        <v>190</v>
      </c>
      <c r="B185" t="s">
        <v>155</v>
      </c>
      <c r="C185" s="4" t="s">
        <v>389</v>
      </c>
      <c r="D185" t="s">
        <v>36</v>
      </c>
      <c r="E185" t="s">
        <v>23</v>
      </c>
      <c r="F185">
        <v>3</v>
      </c>
      <c r="G185">
        <v>2511</v>
      </c>
      <c r="H185" t="s">
        <v>17</v>
      </c>
      <c r="I185" t="s">
        <v>32</v>
      </c>
      <c r="J185" t="str">
        <f t="shared" si="9"/>
        <v>Net Banking</v>
      </c>
      <c r="K185" t="s">
        <v>18</v>
      </c>
      <c r="L185">
        <f t="shared" si="7"/>
        <v>7533</v>
      </c>
      <c r="M185" t="str">
        <f t="shared" si="8"/>
        <v>17</v>
      </c>
    </row>
    <row r="186" spans="1:13" x14ac:dyDescent="0.3">
      <c r="A186" t="s">
        <v>191</v>
      </c>
      <c r="B186" t="s">
        <v>179</v>
      </c>
      <c r="C186" s="4" t="s">
        <v>417</v>
      </c>
      <c r="D186" t="s">
        <v>34</v>
      </c>
      <c r="E186" t="s">
        <v>11</v>
      </c>
      <c r="F186">
        <v>2</v>
      </c>
      <c r="G186">
        <v>18111</v>
      </c>
      <c r="H186" t="s">
        <v>17</v>
      </c>
      <c r="I186" t="s">
        <v>27</v>
      </c>
      <c r="J186" t="str">
        <f t="shared" si="9"/>
        <v>Debit Card</v>
      </c>
      <c r="K186" t="s">
        <v>18</v>
      </c>
      <c r="L186">
        <f t="shared" si="7"/>
        <v>36222</v>
      </c>
      <c r="M186" t="str">
        <f t="shared" si="8"/>
        <v>15</v>
      </c>
    </row>
    <row r="187" spans="1:13" x14ac:dyDescent="0.3">
      <c r="A187" t="s">
        <v>192</v>
      </c>
      <c r="B187" t="s">
        <v>146</v>
      </c>
      <c r="C187" s="4" t="s">
        <v>366</v>
      </c>
      <c r="D187" t="s">
        <v>16</v>
      </c>
      <c r="E187" t="s">
        <v>11</v>
      </c>
      <c r="F187">
        <v>3</v>
      </c>
      <c r="G187">
        <v>45111</v>
      </c>
      <c r="H187" t="s">
        <v>35</v>
      </c>
      <c r="I187" t="s">
        <v>25</v>
      </c>
      <c r="J187" t="str">
        <f t="shared" si="9"/>
        <v>Cash</v>
      </c>
      <c r="K187" t="s">
        <v>15</v>
      </c>
      <c r="L187">
        <f t="shared" si="7"/>
        <v>135333</v>
      </c>
      <c r="M187" t="str">
        <f t="shared" si="8"/>
        <v>18</v>
      </c>
    </row>
    <row r="188" spans="1:13" x14ac:dyDescent="0.3">
      <c r="A188" t="s">
        <v>193</v>
      </c>
      <c r="B188" t="s">
        <v>143</v>
      </c>
      <c r="C188" s="4" t="s">
        <v>312</v>
      </c>
      <c r="D188" t="s">
        <v>10</v>
      </c>
      <c r="E188" t="s">
        <v>11</v>
      </c>
      <c r="F188">
        <v>1</v>
      </c>
      <c r="G188">
        <v>31111</v>
      </c>
      <c r="H188" t="s">
        <v>35</v>
      </c>
      <c r="I188" t="s">
        <v>32</v>
      </c>
      <c r="J188" t="str">
        <f t="shared" si="9"/>
        <v>Net Banking</v>
      </c>
      <c r="K188" t="s">
        <v>21</v>
      </c>
      <c r="L188">
        <f t="shared" si="7"/>
        <v>31111</v>
      </c>
      <c r="M188" t="str">
        <f t="shared" si="8"/>
        <v>11</v>
      </c>
    </row>
    <row r="189" spans="1:13" x14ac:dyDescent="0.3">
      <c r="A189" t="s">
        <v>194</v>
      </c>
      <c r="B189" t="s">
        <v>92</v>
      </c>
      <c r="C189" s="4" t="s">
        <v>393</v>
      </c>
      <c r="D189" t="s">
        <v>10</v>
      </c>
      <c r="E189" t="s">
        <v>11</v>
      </c>
      <c r="F189">
        <v>1</v>
      </c>
      <c r="G189">
        <v>31111</v>
      </c>
      <c r="H189" t="s">
        <v>67</v>
      </c>
      <c r="I189" t="s">
        <v>27</v>
      </c>
      <c r="J189" t="str">
        <f t="shared" si="9"/>
        <v>Debit Card</v>
      </c>
      <c r="K189" t="s">
        <v>15</v>
      </c>
      <c r="L189">
        <f t="shared" si="7"/>
        <v>31111</v>
      </c>
      <c r="M189" t="str">
        <f t="shared" si="8"/>
        <v>12</v>
      </c>
    </row>
    <row r="190" spans="1:13" x14ac:dyDescent="0.3">
      <c r="A190" t="s">
        <v>195</v>
      </c>
      <c r="B190" t="s">
        <v>218</v>
      </c>
      <c r="C190" s="4" t="s">
        <v>418</v>
      </c>
      <c r="D190" t="s">
        <v>30</v>
      </c>
      <c r="E190" t="s">
        <v>31</v>
      </c>
      <c r="F190">
        <v>3</v>
      </c>
      <c r="G190">
        <v>9111</v>
      </c>
      <c r="H190" t="s">
        <v>17</v>
      </c>
      <c r="I190" t="s">
        <v>14</v>
      </c>
      <c r="J190" t="str">
        <f>PROPER(TRIM(I191))</f>
        <v>Upi</v>
      </c>
      <c r="K190" t="s">
        <v>15</v>
      </c>
      <c r="L190">
        <f t="shared" si="7"/>
        <v>27333</v>
      </c>
      <c r="M190" t="str">
        <f t="shared" si="8"/>
        <v>13</v>
      </c>
    </row>
    <row r="191" spans="1:13" x14ac:dyDescent="0.3">
      <c r="A191" t="s">
        <v>196</v>
      </c>
      <c r="B191" t="s">
        <v>92</v>
      </c>
      <c r="C191" s="4" t="s">
        <v>365</v>
      </c>
      <c r="D191" t="s">
        <v>16</v>
      </c>
      <c r="E191" t="s">
        <v>11</v>
      </c>
      <c r="F191">
        <v>3</v>
      </c>
      <c r="G191" s="5">
        <v>61111</v>
      </c>
      <c r="H191" t="s">
        <v>19</v>
      </c>
      <c r="I191" t="s">
        <v>20</v>
      </c>
      <c r="J191" t="str">
        <f t="shared" si="9"/>
        <v>Upi</v>
      </c>
      <c r="K191" t="s">
        <v>18</v>
      </c>
      <c r="L191">
        <f t="shared" si="7"/>
        <v>183333</v>
      </c>
      <c r="M191" t="str">
        <f t="shared" si="8"/>
        <v>13</v>
      </c>
    </row>
    <row r="192" spans="1:13" x14ac:dyDescent="0.3">
      <c r="A192" t="s">
        <v>196</v>
      </c>
      <c r="B192" t="s">
        <v>127</v>
      </c>
      <c r="C192" s="4" t="s">
        <v>383</v>
      </c>
      <c r="D192" t="s">
        <v>36</v>
      </c>
      <c r="E192" t="s">
        <v>23</v>
      </c>
      <c r="F192">
        <v>2</v>
      </c>
      <c r="G192">
        <v>2511</v>
      </c>
      <c r="H192" t="s">
        <v>24</v>
      </c>
      <c r="I192" t="s">
        <v>25</v>
      </c>
      <c r="J192" t="str">
        <f t="shared" si="9"/>
        <v>Cash</v>
      </c>
      <c r="K192" t="s">
        <v>18</v>
      </c>
      <c r="L192">
        <f t="shared" si="7"/>
        <v>5022</v>
      </c>
      <c r="M192" t="str">
        <f t="shared" si="8"/>
        <v>11</v>
      </c>
    </row>
    <row r="193" spans="1:13" x14ac:dyDescent="0.3">
      <c r="A193" t="s">
        <v>198</v>
      </c>
      <c r="B193" t="s">
        <v>118</v>
      </c>
      <c r="C193" s="4" t="s">
        <v>333</v>
      </c>
      <c r="D193" t="s">
        <v>30</v>
      </c>
      <c r="E193" t="s">
        <v>31</v>
      </c>
      <c r="F193">
        <v>1</v>
      </c>
      <c r="G193">
        <v>6511</v>
      </c>
      <c r="H193" t="s">
        <v>13</v>
      </c>
      <c r="I193" t="s">
        <v>25</v>
      </c>
      <c r="J193" t="str">
        <f t="shared" si="9"/>
        <v>Cash</v>
      </c>
      <c r="K193" t="s">
        <v>21</v>
      </c>
      <c r="L193">
        <f t="shared" si="7"/>
        <v>6511</v>
      </c>
      <c r="M193" t="str">
        <f t="shared" si="8"/>
        <v>11</v>
      </c>
    </row>
    <row r="194" spans="1:13" x14ac:dyDescent="0.3">
      <c r="A194" t="s">
        <v>200</v>
      </c>
      <c r="B194" t="s">
        <v>123</v>
      </c>
      <c r="C194" s="4" t="s">
        <v>419</v>
      </c>
      <c r="D194" t="s">
        <v>26</v>
      </c>
      <c r="E194" t="s">
        <v>11</v>
      </c>
      <c r="F194">
        <v>1</v>
      </c>
      <c r="G194">
        <v>16111</v>
      </c>
      <c r="H194" t="s">
        <v>17</v>
      </c>
      <c r="I194" t="s">
        <v>32</v>
      </c>
      <c r="J194" t="str">
        <f t="shared" ref="J194:J257" si="10">PROPER(TRIM(I194))</f>
        <v>Net Banking</v>
      </c>
      <c r="K194" t="s">
        <v>18</v>
      </c>
      <c r="L194">
        <f t="shared" ref="L194:L257" si="11">F194*G194</f>
        <v>16111</v>
      </c>
      <c r="M194" t="str">
        <f t="shared" ref="M194:M257" si="12">IFERROR(MID(C194,4,2),"")</f>
        <v>16</v>
      </c>
    </row>
    <row r="195" spans="1:13" x14ac:dyDescent="0.3">
      <c r="A195" t="s">
        <v>201</v>
      </c>
      <c r="B195" t="s">
        <v>219</v>
      </c>
      <c r="C195" s="4" t="s">
        <v>320</v>
      </c>
      <c r="D195" t="s">
        <v>26</v>
      </c>
      <c r="E195" t="s">
        <v>11</v>
      </c>
      <c r="F195">
        <v>1</v>
      </c>
      <c r="G195">
        <v>12111</v>
      </c>
      <c r="H195" t="s">
        <v>67</v>
      </c>
      <c r="I195" t="s">
        <v>14</v>
      </c>
      <c r="J195" t="str">
        <f t="shared" si="10"/>
        <v>Credit Card</v>
      </c>
      <c r="K195" t="s">
        <v>21</v>
      </c>
      <c r="L195">
        <f t="shared" si="11"/>
        <v>12111</v>
      </c>
      <c r="M195" t="str">
        <f t="shared" si="12"/>
        <v>11</v>
      </c>
    </row>
    <row r="196" spans="1:13" x14ac:dyDescent="0.3">
      <c r="A196" t="s">
        <v>202</v>
      </c>
      <c r="B196" t="s">
        <v>127</v>
      </c>
      <c r="C196" s="4" t="s">
        <v>420</v>
      </c>
      <c r="D196" t="s">
        <v>22</v>
      </c>
      <c r="E196" t="s">
        <v>23</v>
      </c>
      <c r="F196">
        <v>2</v>
      </c>
      <c r="G196">
        <v>411</v>
      </c>
      <c r="H196" t="s">
        <v>24</v>
      </c>
      <c r="I196" t="s">
        <v>14</v>
      </c>
      <c r="J196" t="str">
        <f t="shared" si="10"/>
        <v>Credit Card</v>
      </c>
      <c r="K196" t="s">
        <v>18</v>
      </c>
      <c r="L196">
        <f t="shared" si="11"/>
        <v>822</v>
      </c>
      <c r="M196" t="str">
        <f t="shared" si="12"/>
        <v>17</v>
      </c>
    </row>
    <row r="197" spans="1:13" x14ac:dyDescent="0.3">
      <c r="A197" t="s">
        <v>203</v>
      </c>
      <c r="B197" t="s">
        <v>146</v>
      </c>
      <c r="C197" s="4" t="s">
        <v>362</v>
      </c>
      <c r="D197" t="s">
        <v>10</v>
      </c>
      <c r="E197" t="s">
        <v>11</v>
      </c>
      <c r="F197">
        <v>1</v>
      </c>
      <c r="G197">
        <v>22111</v>
      </c>
      <c r="H197" t="s">
        <v>29</v>
      </c>
      <c r="I197" t="s">
        <v>20</v>
      </c>
      <c r="J197" t="str">
        <f t="shared" si="10"/>
        <v>Upi</v>
      </c>
      <c r="K197" t="s">
        <v>18</v>
      </c>
      <c r="L197">
        <f t="shared" si="11"/>
        <v>22111</v>
      </c>
      <c r="M197" t="str">
        <f t="shared" si="12"/>
        <v>11</v>
      </c>
    </row>
    <row r="198" spans="1:13" x14ac:dyDescent="0.3">
      <c r="A198" t="s">
        <v>204</v>
      </c>
      <c r="B198" t="s">
        <v>149</v>
      </c>
      <c r="C198" s="4" t="s">
        <v>379</v>
      </c>
      <c r="D198" t="s">
        <v>36</v>
      </c>
      <c r="E198" t="s">
        <v>23</v>
      </c>
      <c r="F198">
        <v>4</v>
      </c>
      <c r="G198">
        <v>3511</v>
      </c>
      <c r="H198" t="s">
        <v>17</v>
      </c>
      <c r="I198" t="s">
        <v>25</v>
      </c>
      <c r="J198" t="str">
        <f t="shared" si="10"/>
        <v>Cash</v>
      </c>
      <c r="K198" t="s">
        <v>15</v>
      </c>
      <c r="L198">
        <f t="shared" si="11"/>
        <v>14044</v>
      </c>
      <c r="M198" t="str">
        <f t="shared" si="12"/>
        <v>17</v>
      </c>
    </row>
    <row r="199" spans="1:13" x14ac:dyDescent="0.3">
      <c r="A199" t="s">
        <v>205</v>
      </c>
      <c r="B199" t="s">
        <v>213</v>
      </c>
      <c r="C199" s="4" t="s">
        <v>314</v>
      </c>
      <c r="D199" t="s">
        <v>36</v>
      </c>
      <c r="E199" t="s">
        <v>23</v>
      </c>
      <c r="F199">
        <v>1</v>
      </c>
      <c r="G199">
        <v>3511</v>
      </c>
      <c r="H199" t="s">
        <v>35</v>
      </c>
      <c r="I199" t="s">
        <v>14</v>
      </c>
      <c r="J199" t="str">
        <f t="shared" si="10"/>
        <v>Credit Card</v>
      </c>
      <c r="K199" t="s">
        <v>15</v>
      </c>
      <c r="L199">
        <f t="shared" si="11"/>
        <v>3511</v>
      </c>
      <c r="M199" t="str">
        <f t="shared" si="12"/>
        <v>11</v>
      </c>
    </row>
    <row r="200" spans="1:13" x14ac:dyDescent="0.3">
      <c r="A200" t="s">
        <v>206</v>
      </c>
      <c r="B200" t="s">
        <v>118</v>
      </c>
      <c r="C200" s="4" t="s">
        <v>354</v>
      </c>
      <c r="D200" t="s">
        <v>10</v>
      </c>
      <c r="E200" t="s">
        <v>11</v>
      </c>
      <c r="F200">
        <v>2</v>
      </c>
      <c r="G200">
        <v>42111</v>
      </c>
      <c r="H200" t="s">
        <v>67</v>
      </c>
      <c r="I200" t="s">
        <v>32</v>
      </c>
      <c r="J200" t="str">
        <f>PROPER(TRIM(I211))</f>
        <v>Net Banking</v>
      </c>
      <c r="K200" t="s">
        <v>21</v>
      </c>
      <c r="L200">
        <f t="shared" si="11"/>
        <v>84222</v>
      </c>
      <c r="M200" t="str">
        <f t="shared" si="12"/>
        <v>11</v>
      </c>
    </row>
    <row r="201" spans="1:13" x14ac:dyDescent="0.3">
      <c r="A201" t="s">
        <v>220</v>
      </c>
      <c r="B201" t="s">
        <v>197</v>
      </c>
      <c r="C201" s="4" t="s">
        <v>421</v>
      </c>
      <c r="D201" t="s">
        <v>22</v>
      </c>
      <c r="E201" t="s">
        <v>23</v>
      </c>
      <c r="F201">
        <v>1</v>
      </c>
      <c r="G201">
        <v>711</v>
      </c>
      <c r="H201" t="s">
        <v>13</v>
      </c>
      <c r="I201" t="s">
        <v>14</v>
      </c>
      <c r="J201" t="str">
        <f t="shared" ref="J201:J209" si="13">PROPER(TRIM(I211))</f>
        <v>Net Banking</v>
      </c>
      <c r="K201" t="s">
        <v>18</v>
      </c>
      <c r="L201">
        <f t="shared" si="11"/>
        <v>711</v>
      </c>
      <c r="M201" t="str">
        <f t="shared" si="12"/>
        <v>19</v>
      </c>
    </row>
    <row r="202" spans="1:13" x14ac:dyDescent="0.3">
      <c r="A202" t="s">
        <v>220</v>
      </c>
      <c r="B202" t="s">
        <v>101</v>
      </c>
      <c r="C202" s="4" t="s">
        <v>422</v>
      </c>
      <c r="D202" t="s">
        <v>10</v>
      </c>
      <c r="E202" t="s">
        <v>11</v>
      </c>
      <c r="F202">
        <v>1</v>
      </c>
      <c r="G202">
        <v>31111</v>
      </c>
      <c r="H202" t="s">
        <v>13</v>
      </c>
      <c r="I202" t="s">
        <v>20</v>
      </c>
      <c r="J202" t="str">
        <f t="shared" si="13"/>
        <v>Unknown</v>
      </c>
      <c r="K202" t="s">
        <v>21</v>
      </c>
      <c r="L202">
        <f t="shared" si="11"/>
        <v>31111</v>
      </c>
      <c r="M202" t="str">
        <f t="shared" si="12"/>
        <v>18</v>
      </c>
    </row>
    <row r="203" spans="1:13" x14ac:dyDescent="0.3">
      <c r="A203" t="s">
        <v>221</v>
      </c>
      <c r="B203" t="s">
        <v>222</v>
      </c>
      <c r="C203" s="4" t="s">
        <v>386</v>
      </c>
      <c r="D203" t="s">
        <v>10</v>
      </c>
      <c r="E203" t="s">
        <v>11</v>
      </c>
      <c r="F203">
        <v>1</v>
      </c>
      <c r="G203">
        <v>22111</v>
      </c>
      <c r="H203" t="s">
        <v>13</v>
      </c>
      <c r="I203" t="s">
        <v>32</v>
      </c>
      <c r="J203" t="str">
        <f t="shared" si="13"/>
        <v>Cash</v>
      </c>
      <c r="K203" t="s">
        <v>21</v>
      </c>
      <c r="L203">
        <f t="shared" si="11"/>
        <v>22111</v>
      </c>
      <c r="M203" t="str">
        <f t="shared" si="12"/>
        <v>12</v>
      </c>
    </row>
    <row r="204" spans="1:13" x14ac:dyDescent="0.3">
      <c r="A204" t="s">
        <v>223</v>
      </c>
      <c r="B204" t="s">
        <v>211</v>
      </c>
      <c r="C204" s="4" t="s">
        <v>405</v>
      </c>
      <c r="D204" t="s">
        <v>36</v>
      </c>
      <c r="E204" t="s">
        <v>23</v>
      </c>
      <c r="F204">
        <v>3</v>
      </c>
      <c r="G204">
        <v>1211</v>
      </c>
      <c r="H204" t="s">
        <v>13</v>
      </c>
      <c r="I204" t="s">
        <v>27</v>
      </c>
      <c r="J204" t="str">
        <f t="shared" si="13"/>
        <v>Debit Card</v>
      </c>
      <c r="K204" t="s">
        <v>21</v>
      </c>
      <c r="L204">
        <f t="shared" si="11"/>
        <v>3633</v>
      </c>
      <c r="M204" t="str">
        <f t="shared" si="12"/>
        <v>11</v>
      </c>
    </row>
    <row r="205" spans="1:13" x14ac:dyDescent="0.3">
      <c r="A205" t="s">
        <v>224</v>
      </c>
      <c r="B205" t="s">
        <v>151</v>
      </c>
      <c r="C205" s="4" t="s">
        <v>345</v>
      </c>
      <c r="D205" t="s">
        <v>34</v>
      </c>
      <c r="E205" t="s">
        <v>11</v>
      </c>
      <c r="F205">
        <v>2</v>
      </c>
      <c r="G205">
        <v>12111</v>
      </c>
      <c r="H205" t="s">
        <v>17</v>
      </c>
      <c r="I205" t="s">
        <v>20</v>
      </c>
      <c r="J205" t="str">
        <f t="shared" si="13"/>
        <v>Cash</v>
      </c>
      <c r="K205" t="s">
        <v>15</v>
      </c>
      <c r="L205">
        <f t="shared" si="11"/>
        <v>24222</v>
      </c>
      <c r="M205" t="str">
        <f t="shared" si="12"/>
        <v>12</v>
      </c>
    </row>
    <row r="206" spans="1:13" x14ac:dyDescent="0.3">
      <c r="A206" t="s">
        <v>225</v>
      </c>
      <c r="B206" t="s">
        <v>143</v>
      </c>
      <c r="C206" s="4" t="s">
        <v>370</v>
      </c>
      <c r="D206" t="s">
        <v>36</v>
      </c>
      <c r="E206" t="s">
        <v>23</v>
      </c>
      <c r="F206">
        <v>1</v>
      </c>
      <c r="G206">
        <v>2511</v>
      </c>
      <c r="H206" t="s">
        <v>24</v>
      </c>
      <c r="I206" t="s">
        <v>20</v>
      </c>
      <c r="J206" t="str">
        <f t="shared" si="13"/>
        <v>Net Banking</v>
      </c>
      <c r="K206" t="s">
        <v>15</v>
      </c>
      <c r="L206">
        <f t="shared" si="11"/>
        <v>2511</v>
      </c>
      <c r="M206" t="str">
        <f t="shared" si="12"/>
        <v>13</v>
      </c>
    </row>
    <row r="207" spans="1:13" x14ac:dyDescent="0.3">
      <c r="A207" t="s">
        <v>226</v>
      </c>
      <c r="B207" t="s">
        <v>227</v>
      </c>
      <c r="C207" s="4" t="s">
        <v>423</v>
      </c>
      <c r="D207" t="s">
        <v>26</v>
      </c>
      <c r="E207" t="s">
        <v>11</v>
      </c>
      <c r="F207">
        <v>4</v>
      </c>
      <c r="G207">
        <v>9111</v>
      </c>
      <c r="H207" t="s">
        <v>37</v>
      </c>
      <c r="I207" t="s">
        <v>25</v>
      </c>
      <c r="J207" t="str">
        <f t="shared" si="13"/>
        <v>Cash</v>
      </c>
      <c r="K207" t="s">
        <v>21</v>
      </c>
      <c r="L207">
        <f t="shared" si="11"/>
        <v>36444</v>
      </c>
      <c r="M207" t="str">
        <f t="shared" si="12"/>
        <v>19</v>
      </c>
    </row>
    <row r="208" spans="1:13" x14ac:dyDescent="0.3">
      <c r="A208" t="s">
        <v>228</v>
      </c>
      <c r="B208" t="s">
        <v>162</v>
      </c>
      <c r="C208" s="4" t="s">
        <v>383</v>
      </c>
      <c r="D208" t="s">
        <v>36</v>
      </c>
      <c r="E208" t="s">
        <v>23</v>
      </c>
      <c r="F208">
        <v>3</v>
      </c>
      <c r="G208">
        <v>1211</v>
      </c>
      <c r="H208" t="s">
        <v>67</v>
      </c>
      <c r="I208" t="s">
        <v>20</v>
      </c>
      <c r="J208" t="str">
        <f t="shared" si="13"/>
        <v>Upi</v>
      </c>
      <c r="K208" t="s">
        <v>18</v>
      </c>
      <c r="L208">
        <f t="shared" si="11"/>
        <v>3633</v>
      </c>
      <c r="M208" t="str">
        <f t="shared" si="12"/>
        <v>11</v>
      </c>
    </row>
    <row r="209" spans="1:13" x14ac:dyDescent="0.3">
      <c r="A209" t="s">
        <v>229</v>
      </c>
      <c r="B209" t="s">
        <v>214</v>
      </c>
      <c r="C209" s="4" t="s">
        <v>424</v>
      </c>
      <c r="D209" t="s">
        <v>26</v>
      </c>
      <c r="E209" t="s">
        <v>11</v>
      </c>
      <c r="F209">
        <v>4</v>
      </c>
      <c r="G209">
        <v>22111</v>
      </c>
      <c r="H209" t="s">
        <v>66</v>
      </c>
      <c r="I209" t="s">
        <v>27</v>
      </c>
      <c r="J209" t="str">
        <f t="shared" si="13"/>
        <v>Upi</v>
      </c>
      <c r="K209" t="s">
        <v>15</v>
      </c>
      <c r="L209">
        <f t="shared" si="11"/>
        <v>88444</v>
      </c>
      <c r="M209" t="str">
        <f t="shared" si="12"/>
        <v>15</v>
      </c>
    </row>
    <row r="210" spans="1:13" x14ac:dyDescent="0.3">
      <c r="A210" t="s">
        <v>230</v>
      </c>
      <c r="B210" t="s">
        <v>118</v>
      </c>
      <c r="C210" s="4" t="s">
        <v>380</v>
      </c>
      <c r="D210" t="s">
        <v>26</v>
      </c>
      <c r="E210" t="s">
        <v>11</v>
      </c>
      <c r="F210">
        <v>1</v>
      </c>
      <c r="G210">
        <v>22111</v>
      </c>
      <c r="H210" t="s">
        <v>24</v>
      </c>
      <c r="I210" t="s">
        <v>27</v>
      </c>
      <c r="J210" t="str">
        <f>PROPER(TRIM(I211))</f>
        <v>Net Banking</v>
      </c>
      <c r="K210" t="s">
        <v>15</v>
      </c>
      <c r="L210">
        <f t="shared" si="11"/>
        <v>22111</v>
      </c>
      <c r="M210" t="str">
        <f t="shared" si="12"/>
        <v>15</v>
      </c>
    </row>
    <row r="211" spans="1:13" x14ac:dyDescent="0.3">
      <c r="A211" t="s">
        <v>220</v>
      </c>
      <c r="B211" t="s">
        <v>231</v>
      </c>
      <c r="C211" s="4" t="s">
        <v>346</v>
      </c>
      <c r="D211" t="s">
        <v>30</v>
      </c>
      <c r="E211" t="s">
        <v>31</v>
      </c>
      <c r="F211">
        <v>1</v>
      </c>
      <c r="G211">
        <v>6511</v>
      </c>
      <c r="H211" t="s">
        <v>67</v>
      </c>
      <c r="I211" t="s">
        <v>32</v>
      </c>
      <c r="J211" t="str">
        <f t="shared" si="10"/>
        <v>Net Banking</v>
      </c>
      <c r="K211" t="s">
        <v>15</v>
      </c>
      <c r="L211">
        <f t="shared" si="11"/>
        <v>6511</v>
      </c>
      <c r="M211" t="str">
        <f t="shared" si="12"/>
        <v>11</v>
      </c>
    </row>
    <row r="212" spans="1:13" x14ac:dyDescent="0.3">
      <c r="A212" t="s">
        <v>220</v>
      </c>
      <c r="B212" t="s">
        <v>76</v>
      </c>
      <c r="C212" s="4" t="s">
        <v>381</v>
      </c>
      <c r="D212" t="s">
        <v>36</v>
      </c>
      <c r="E212" t="s">
        <v>23</v>
      </c>
      <c r="F212">
        <v>1</v>
      </c>
      <c r="G212">
        <v>1811</v>
      </c>
      <c r="H212" t="s">
        <v>24</v>
      </c>
      <c r="I212" t="s">
        <v>65</v>
      </c>
      <c r="J212" t="str">
        <f t="shared" si="10"/>
        <v>Unknown</v>
      </c>
      <c r="K212" t="s">
        <v>15</v>
      </c>
      <c r="L212">
        <f t="shared" si="11"/>
        <v>1811</v>
      </c>
      <c r="M212" t="str">
        <f t="shared" si="12"/>
        <v>12</v>
      </c>
    </row>
    <row r="213" spans="1:13" x14ac:dyDescent="0.3">
      <c r="A213" t="s">
        <v>221</v>
      </c>
      <c r="B213" t="s">
        <v>189</v>
      </c>
      <c r="C213" s="4" t="s">
        <v>425</v>
      </c>
      <c r="D213" t="s">
        <v>28</v>
      </c>
      <c r="E213" t="s">
        <v>23</v>
      </c>
      <c r="F213">
        <v>4</v>
      </c>
      <c r="G213">
        <v>1811</v>
      </c>
      <c r="H213" t="s">
        <v>29</v>
      </c>
      <c r="I213" t="s">
        <v>25</v>
      </c>
      <c r="J213" t="str">
        <f t="shared" si="10"/>
        <v>Cash</v>
      </c>
      <c r="K213" t="s">
        <v>21</v>
      </c>
      <c r="L213">
        <f t="shared" si="11"/>
        <v>7244</v>
      </c>
      <c r="M213" t="str">
        <f t="shared" si="12"/>
        <v>19</v>
      </c>
    </row>
    <row r="214" spans="1:13" x14ac:dyDescent="0.3">
      <c r="A214" t="s">
        <v>223</v>
      </c>
      <c r="B214" t="s">
        <v>208</v>
      </c>
      <c r="C214" s="4" t="s">
        <v>426</v>
      </c>
      <c r="D214" t="s">
        <v>10</v>
      </c>
      <c r="E214" t="s">
        <v>11</v>
      </c>
      <c r="F214">
        <v>1</v>
      </c>
      <c r="G214">
        <v>42111</v>
      </c>
      <c r="H214" t="s">
        <v>65</v>
      </c>
      <c r="I214" t="s">
        <v>27</v>
      </c>
      <c r="J214" t="str">
        <f t="shared" si="10"/>
        <v>Debit Card</v>
      </c>
      <c r="K214" t="s">
        <v>18</v>
      </c>
      <c r="L214">
        <f t="shared" si="11"/>
        <v>42111</v>
      </c>
      <c r="M214" t="str">
        <f t="shared" si="12"/>
        <v>15</v>
      </c>
    </row>
    <row r="215" spans="1:13" x14ac:dyDescent="0.3">
      <c r="A215" t="s">
        <v>224</v>
      </c>
      <c r="B215" t="s">
        <v>87</v>
      </c>
      <c r="C215" s="4" t="s">
        <v>339</v>
      </c>
      <c r="D215" t="s">
        <v>26</v>
      </c>
      <c r="E215" t="s">
        <v>11</v>
      </c>
      <c r="F215">
        <v>3</v>
      </c>
      <c r="G215">
        <v>12111</v>
      </c>
      <c r="H215" t="s">
        <v>35</v>
      </c>
      <c r="I215" t="s">
        <v>25</v>
      </c>
      <c r="J215" t="str">
        <f t="shared" si="10"/>
        <v>Cash</v>
      </c>
      <c r="K215" t="s">
        <v>18</v>
      </c>
      <c r="L215">
        <f t="shared" si="11"/>
        <v>36333</v>
      </c>
      <c r="M215" t="str">
        <f t="shared" si="12"/>
        <v>12</v>
      </c>
    </row>
    <row r="216" spans="1:13" x14ac:dyDescent="0.3">
      <c r="A216" t="s">
        <v>225</v>
      </c>
      <c r="B216" t="s">
        <v>213</v>
      </c>
      <c r="C216" s="4" t="s">
        <v>328</v>
      </c>
      <c r="D216" t="s">
        <v>34</v>
      </c>
      <c r="E216" t="s">
        <v>11</v>
      </c>
      <c r="F216">
        <v>1</v>
      </c>
      <c r="G216">
        <v>12111</v>
      </c>
      <c r="H216" t="s">
        <v>24</v>
      </c>
      <c r="I216" t="s">
        <v>32</v>
      </c>
      <c r="J216" t="str">
        <f t="shared" si="10"/>
        <v>Net Banking</v>
      </c>
      <c r="K216" t="s">
        <v>15</v>
      </c>
      <c r="L216">
        <f t="shared" si="11"/>
        <v>12111</v>
      </c>
      <c r="M216" t="str">
        <f t="shared" si="12"/>
        <v>13</v>
      </c>
    </row>
    <row r="217" spans="1:13" x14ac:dyDescent="0.3">
      <c r="A217" t="s">
        <v>226</v>
      </c>
      <c r="B217" t="s">
        <v>70</v>
      </c>
      <c r="C217" s="4" t="s">
        <v>427</v>
      </c>
      <c r="D217" t="s">
        <v>28</v>
      </c>
      <c r="E217" t="s">
        <v>23</v>
      </c>
      <c r="F217">
        <v>3</v>
      </c>
      <c r="G217" s="5">
        <v>1211</v>
      </c>
      <c r="H217" t="s">
        <v>19</v>
      </c>
      <c r="I217" t="s">
        <v>25</v>
      </c>
      <c r="J217" t="str">
        <f t="shared" si="10"/>
        <v>Cash</v>
      </c>
      <c r="K217" t="s">
        <v>21</v>
      </c>
      <c r="L217">
        <f t="shared" si="11"/>
        <v>3633</v>
      </c>
      <c r="M217" t="str">
        <f t="shared" si="12"/>
        <v>13</v>
      </c>
    </row>
    <row r="218" spans="1:13" x14ac:dyDescent="0.3">
      <c r="A218" t="s">
        <v>228</v>
      </c>
      <c r="B218" t="s">
        <v>222</v>
      </c>
      <c r="C218" s="4" t="s">
        <v>428</v>
      </c>
      <c r="D218" t="s">
        <v>28</v>
      </c>
      <c r="E218" t="s">
        <v>23</v>
      </c>
      <c r="F218">
        <v>1</v>
      </c>
      <c r="G218">
        <v>711</v>
      </c>
      <c r="H218" t="s">
        <v>29</v>
      </c>
      <c r="I218" t="s">
        <v>20</v>
      </c>
      <c r="J218" t="str">
        <f t="shared" si="10"/>
        <v>Upi</v>
      </c>
      <c r="K218" t="s">
        <v>21</v>
      </c>
      <c r="L218">
        <f t="shared" si="11"/>
        <v>711</v>
      </c>
      <c r="M218" t="str">
        <f t="shared" si="12"/>
        <v>14</v>
      </c>
    </row>
    <row r="219" spans="1:13" x14ac:dyDescent="0.3">
      <c r="A219" t="s">
        <v>229</v>
      </c>
      <c r="B219" t="s">
        <v>74</v>
      </c>
      <c r="C219" s="4" t="s">
        <v>364</v>
      </c>
      <c r="D219" t="s">
        <v>22</v>
      </c>
      <c r="E219" t="s">
        <v>23</v>
      </c>
      <c r="F219">
        <v>1</v>
      </c>
      <c r="G219">
        <v>711</v>
      </c>
      <c r="H219" t="s">
        <v>35</v>
      </c>
      <c r="I219" t="s">
        <v>20</v>
      </c>
      <c r="J219" t="str">
        <f t="shared" si="10"/>
        <v>Upi</v>
      </c>
      <c r="K219" t="s">
        <v>15</v>
      </c>
      <c r="L219">
        <f t="shared" si="11"/>
        <v>711</v>
      </c>
      <c r="M219" t="str">
        <f t="shared" si="12"/>
        <v>13</v>
      </c>
    </row>
    <row r="220" spans="1:13" x14ac:dyDescent="0.3">
      <c r="A220" t="s">
        <v>230</v>
      </c>
      <c r="B220" t="s">
        <v>72</v>
      </c>
      <c r="C220" s="4" t="s">
        <v>429</v>
      </c>
      <c r="D220" t="s">
        <v>34</v>
      </c>
      <c r="E220" t="s">
        <v>11</v>
      </c>
      <c r="F220">
        <v>4</v>
      </c>
      <c r="G220">
        <v>25111</v>
      </c>
      <c r="H220" t="s">
        <v>24</v>
      </c>
      <c r="I220" t="s">
        <v>25</v>
      </c>
      <c r="J220" t="str">
        <f>PROPER(TRIM(I221))</f>
        <v>Credit Card</v>
      </c>
      <c r="K220" t="s">
        <v>15</v>
      </c>
      <c r="L220">
        <f t="shared" si="11"/>
        <v>100444</v>
      </c>
      <c r="M220" t="str">
        <f t="shared" si="12"/>
        <v>14</v>
      </c>
    </row>
    <row r="221" spans="1:13" x14ac:dyDescent="0.3">
      <c r="A221" t="s">
        <v>232</v>
      </c>
      <c r="B221" t="s">
        <v>179</v>
      </c>
      <c r="C221" s="4" t="s">
        <v>430</v>
      </c>
      <c r="D221" t="s">
        <v>16</v>
      </c>
      <c r="E221" t="s">
        <v>11</v>
      </c>
      <c r="F221">
        <v>2</v>
      </c>
      <c r="G221">
        <v>61111</v>
      </c>
      <c r="H221" t="s">
        <v>19</v>
      </c>
      <c r="I221" t="s">
        <v>14</v>
      </c>
      <c r="J221" t="str">
        <f t="shared" si="10"/>
        <v>Credit Card</v>
      </c>
      <c r="K221" t="s">
        <v>21</v>
      </c>
      <c r="L221">
        <f t="shared" si="11"/>
        <v>122222</v>
      </c>
      <c r="M221" t="str">
        <f t="shared" si="12"/>
        <v>17</v>
      </c>
    </row>
    <row r="222" spans="1:13" x14ac:dyDescent="0.3">
      <c r="A222" t="s">
        <v>232</v>
      </c>
      <c r="B222" t="s">
        <v>215</v>
      </c>
      <c r="C222" s="4" t="s">
        <v>431</v>
      </c>
      <c r="D222" t="s">
        <v>28</v>
      </c>
      <c r="E222" t="s">
        <v>23</v>
      </c>
      <c r="F222" t="s">
        <v>12</v>
      </c>
      <c r="G222">
        <v>1811</v>
      </c>
      <c r="H222" t="s">
        <v>37</v>
      </c>
      <c r="I222" t="s">
        <v>27</v>
      </c>
      <c r="J222" t="str">
        <f t="shared" si="10"/>
        <v>Debit Card</v>
      </c>
      <c r="K222" t="s">
        <v>21</v>
      </c>
      <c r="L222">
        <f t="shared" si="11"/>
        <v>1811</v>
      </c>
      <c r="M222" t="str">
        <f t="shared" si="12"/>
        <v>15</v>
      </c>
    </row>
    <row r="223" spans="1:13" x14ac:dyDescent="0.3">
      <c r="A223" t="s">
        <v>233</v>
      </c>
      <c r="B223" t="s">
        <v>90</v>
      </c>
      <c r="C223" s="4" t="s">
        <v>432</v>
      </c>
      <c r="D223" t="s">
        <v>28</v>
      </c>
      <c r="E223" t="s">
        <v>23</v>
      </c>
      <c r="F223">
        <v>1</v>
      </c>
      <c r="G223">
        <v>1811</v>
      </c>
      <c r="H223" t="s">
        <v>67</v>
      </c>
      <c r="I223" t="s">
        <v>27</v>
      </c>
      <c r="J223" t="str">
        <f t="shared" si="10"/>
        <v>Debit Card</v>
      </c>
      <c r="K223" t="s">
        <v>21</v>
      </c>
      <c r="L223">
        <f t="shared" si="11"/>
        <v>1811</v>
      </c>
      <c r="M223" t="str">
        <f t="shared" si="12"/>
        <v>15</v>
      </c>
    </row>
    <row r="224" spans="1:13" x14ac:dyDescent="0.3">
      <c r="A224" t="s">
        <v>234</v>
      </c>
      <c r="B224" t="s">
        <v>146</v>
      </c>
      <c r="C224" s="4" t="s">
        <v>398</v>
      </c>
      <c r="D224" t="s">
        <v>16</v>
      </c>
      <c r="E224" t="s">
        <v>11</v>
      </c>
      <c r="F224">
        <v>2</v>
      </c>
      <c r="G224">
        <v>68111</v>
      </c>
      <c r="H224" t="s">
        <v>29</v>
      </c>
      <c r="I224" t="s">
        <v>32</v>
      </c>
      <c r="J224" t="str">
        <f t="shared" si="10"/>
        <v>Net Banking</v>
      </c>
      <c r="K224" t="s">
        <v>21</v>
      </c>
      <c r="L224">
        <f t="shared" si="11"/>
        <v>136222</v>
      </c>
      <c r="M224" t="str">
        <f t="shared" si="12"/>
        <v>12</v>
      </c>
    </row>
    <row r="225" spans="1:13" x14ac:dyDescent="0.3">
      <c r="A225" t="s">
        <v>235</v>
      </c>
      <c r="B225" t="s">
        <v>82</v>
      </c>
      <c r="C225" s="4" t="s">
        <v>362</v>
      </c>
      <c r="D225" t="s">
        <v>36</v>
      </c>
      <c r="E225" t="s">
        <v>23</v>
      </c>
      <c r="F225">
        <v>2</v>
      </c>
      <c r="G225">
        <v>1811</v>
      </c>
      <c r="H225" t="s">
        <v>37</v>
      </c>
      <c r="I225" t="s">
        <v>32</v>
      </c>
      <c r="J225" t="str">
        <f t="shared" si="10"/>
        <v>Net Banking</v>
      </c>
      <c r="K225" t="s">
        <v>18</v>
      </c>
      <c r="L225">
        <f t="shared" si="11"/>
        <v>3622</v>
      </c>
      <c r="M225" t="str">
        <f t="shared" si="12"/>
        <v>11</v>
      </c>
    </row>
    <row r="226" spans="1:13" x14ac:dyDescent="0.3">
      <c r="A226" t="s">
        <v>236</v>
      </c>
      <c r="B226" t="s">
        <v>134</v>
      </c>
      <c r="C226" s="4" t="s">
        <v>338</v>
      </c>
      <c r="D226" t="s">
        <v>16</v>
      </c>
      <c r="E226" t="s">
        <v>11</v>
      </c>
      <c r="F226">
        <v>3</v>
      </c>
      <c r="G226">
        <v>52111</v>
      </c>
      <c r="H226" t="s">
        <v>17</v>
      </c>
      <c r="I226" t="s">
        <v>20</v>
      </c>
      <c r="J226" t="str">
        <f t="shared" si="10"/>
        <v>Upi</v>
      </c>
      <c r="K226" t="s">
        <v>21</v>
      </c>
      <c r="L226">
        <f t="shared" si="11"/>
        <v>156333</v>
      </c>
      <c r="M226" t="str">
        <f t="shared" si="12"/>
        <v>13</v>
      </c>
    </row>
    <row r="227" spans="1:13" x14ac:dyDescent="0.3">
      <c r="A227" t="s">
        <v>237</v>
      </c>
      <c r="B227" t="s">
        <v>211</v>
      </c>
      <c r="C227" s="4" t="s">
        <v>334</v>
      </c>
      <c r="D227" t="s">
        <v>26</v>
      </c>
      <c r="E227" t="s">
        <v>11</v>
      </c>
      <c r="F227">
        <v>1</v>
      </c>
      <c r="G227">
        <v>16111</v>
      </c>
      <c r="H227" t="s">
        <v>35</v>
      </c>
      <c r="I227" t="s">
        <v>27</v>
      </c>
      <c r="J227" t="str">
        <f t="shared" si="10"/>
        <v>Debit Card</v>
      </c>
      <c r="K227" t="s">
        <v>15</v>
      </c>
      <c r="L227">
        <f t="shared" si="11"/>
        <v>16111</v>
      </c>
      <c r="M227" t="str">
        <f t="shared" si="12"/>
        <v>18</v>
      </c>
    </row>
    <row r="228" spans="1:13" x14ac:dyDescent="0.3">
      <c r="A228" t="s">
        <v>238</v>
      </c>
      <c r="B228" t="s">
        <v>146</v>
      </c>
      <c r="C228" s="4" t="s">
        <v>320</v>
      </c>
      <c r="D228" t="s">
        <v>26</v>
      </c>
      <c r="E228" t="s">
        <v>11</v>
      </c>
      <c r="F228">
        <v>2</v>
      </c>
      <c r="G228">
        <v>16111</v>
      </c>
      <c r="H228" t="s">
        <v>19</v>
      </c>
      <c r="I228" t="s">
        <v>32</v>
      </c>
      <c r="J228" t="str">
        <f t="shared" si="10"/>
        <v>Net Banking</v>
      </c>
      <c r="K228" t="s">
        <v>15</v>
      </c>
      <c r="L228">
        <f t="shared" si="11"/>
        <v>32222</v>
      </c>
      <c r="M228" t="str">
        <f t="shared" si="12"/>
        <v>11</v>
      </c>
    </row>
    <row r="229" spans="1:13" x14ac:dyDescent="0.3">
      <c r="A229" t="s">
        <v>239</v>
      </c>
      <c r="B229" t="s">
        <v>87</v>
      </c>
      <c r="C229" s="4" t="s">
        <v>407</v>
      </c>
      <c r="D229" t="s">
        <v>36</v>
      </c>
      <c r="E229" t="s">
        <v>23</v>
      </c>
      <c r="F229">
        <v>3</v>
      </c>
      <c r="G229">
        <v>3511</v>
      </c>
      <c r="H229" t="s">
        <v>13</v>
      </c>
      <c r="I229" t="s">
        <v>27</v>
      </c>
      <c r="J229" t="str">
        <f t="shared" si="10"/>
        <v>Debit Card</v>
      </c>
      <c r="K229" t="s">
        <v>18</v>
      </c>
      <c r="L229">
        <f t="shared" si="11"/>
        <v>10533</v>
      </c>
      <c r="M229" t="str">
        <f t="shared" si="12"/>
        <v>16</v>
      </c>
    </row>
    <row r="230" spans="1:13" x14ac:dyDescent="0.3">
      <c r="A230" t="s">
        <v>240</v>
      </c>
      <c r="B230" t="s">
        <v>97</v>
      </c>
      <c r="C230" s="4" t="s">
        <v>433</v>
      </c>
      <c r="D230" t="s">
        <v>16</v>
      </c>
      <c r="E230" t="s">
        <v>11</v>
      </c>
      <c r="F230">
        <v>3</v>
      </c>
      <c r="G230">
        <v>52111</v>
      </c>
      <c r="H230" t="s">
        <v>19</v>
      </c>
      <c r="I230" t="s">
        <v>14</v>
      </c>
      <c r="J230" t="str">
        <f>PROPER(TRIM(I231))</f>
        <v>Upi</v>
      </c>
      <c r="K230" t="s">
        <v>18</v>
      </c>
      <c r="L230">
        <f t="shared" si="11"/>
        <v>156333</v>
      </c>
      <c r="M230" t="str">
        <f t="shared" si="12"/>
        <v>17</v>
      </c>
    </row>
    <row r="231" spans="1:13" x14ac:dyDescent="0.3">
      <c r="A231" t="s">
        <v>241</v>
      </c>
      <c r="B231" t="s">
        <v>86</v>
      </c>
      <c r="C231" s="4" t="s">
        <v>325</v>
      </c>
      <c r="D231" t="s">
        <v>30</v>
      </c>
      <c r="E231" t="s">
        <v>31</v>
      </c>
      <c r="F231">
        <v>4</v>
      </c>
      <c r="G231">
        <v>9111</v>
      </c>
      <c r="H231" t="s">
        <v>24</v>
      </c>
      <c r="I231" t="s">
        <v>20</v>
      </c>
      <c r="J231" t="str">
        <f t="shared" si="10"/>
        <v>Upi</v>
      </c>
      <c r="K231" t="s">
        <v>18</v>
      </c>
      <c r="L231">
        <f t="shared" si="11"/>
        <v>36444</v>
      </c>
      <c r="M231" t="str">
        <f t="shared" si="12"/>
        <v>12</v>
      </c>
    </row>
    <row r="232" spans="1:13" x14ac:dyDescent="0.3">
      <c r="A232" t="s">
        <v>241</v>
      </c>
      <c r="B232" t="s">
        <v>218</v>
      </c>
      <c r="C232" s="4" t="s">
        <v>320</v>
      </c>
      <c r="D232" t="s">
        <v>22</v>
      </c>
      <c r="E232" t="s">
        <v>23</v>
      </c>
      <c r="F232">
        <v>1</v>
      </c>
      <c r="G232">
        <v>411</v>
      </c>
      <c r="H232" t="s">
        <v>35</v>
      </c>
      <c r="I232" t="s">
        <v>20</v>
      </c>
      <c r="J232" t="str">
        <f t="shared" si="10"/>
        <v>Upi</v>
      </c>
      <c r="K232" t="s">
        <v>18</v>
      </c>
      <c r="L232">
        <f t="shared" si="11"/>
        <v>411</v>
      </c>
      <c r="M232" t="str">
        <f t="shared" si="12"/>
        <v>11</v>
      </c>
    </row>
    <row r="233" spans="1:13" x14ac:dyDescent="0.3">
      <c r="A233" t="s">
        <v>242</v>
      </c>
      <c r="B233" t="s">
        <v>93</v>
      </c>
      <c r="C233" s="4" t="s">
        <v>335</v>
      </c>
      <c r="D233" t="s">
        <v>36</v>
      </c>
      <c r="E233" t="s">
        <v>23</v>
      </c>
      <c r="F233">
        <v>4</v>
      </c>
      <c r="G233">
        <v>1211</v>
      </c>
      <c r="H233" t="s">
        <v>24</v>
      </c>
      <c r="I233" t="s">
        <v>14</v>
      </c>
      <c r="J233" t="str">
        <f t="shared" si="10"/>
        <v>Credit Card</v>
      </c>
      <c r="K233" t="s">
        <v>15</v>
      </c>
      <c r="L233">
        <f t="shared" si="11"/>
        <v>4844</v>
      </c>
      <c r="M233" t="str">
        <f t="shared" si="12"/>
        <v>12</v>
      </c>
    </row>
    <row r="234" spans="1:13" x14ac:dyDescent="0.3">
      <c r="A234" t="s">
        <v>243</v>
      </c>
      <c r="B234" t="s">
        <v>127</v>
      </c>
      <c r="C234" s="4" t="s">
        <v>335</v>
      </c>
      <c r="D234" t="s">
        <v>16</v>
      </c>
      <c r="E234" t="s">
        <v>11</v>
      </c>
      <c r="F234">
        <v>4</v>
      </c>
      <c r="G234">
        <v>68111</v>
      </c>
      <c r="H234" t="s">
        <v>35</v>
      </c>
      <c r="I234" t="s">
        <v>14</v>
      </c>
      <c r="J234" t="str">
        <f t="shared" si="10"/>
        <v>Credit Card</v>
      </c>
      <c r="K234" t="s">
        <v>15</v>
      </c>
      <c r="L234">
        <f t="shared" si="11"/>
        <v>272444</v>
      </c>
      <c r="M234" t="str">
        <f t="shared" si="12"/>
        <v>12</v>
      </c>
    </row>
    <row r="235" spans="1:13" x14ac:dyDescent="0.3">
      <c r="A235" t="s">
        <v>244</v>
      </c>
      <c r="B235" t="s">
        <v>90</v>
      </c>
      <c r="C235" s="4" t="s">
        <v>434</v>
      </c>
      <c r="D235" t="s">
        <v>16</v>
      </c>
      <c r="E235" t="s">
        <v>11</v>
      </c>
      <c r="F235">
        <v>2</v>
      </c>
      <c r="G235">
        <v>52111</v>
      </c>
      <c r="H235" t="s">
        <v>24</v>
      </c>
      <c r="I235" t="s">
        <v>20</v>
      </c>
      <c r="J235" t="str">
        <f t="shared" si="10"/>
        <v>Upi</v>
      </c>
      <c r="K235" t="s">
        <v>21</v>
      </c>
      <c r="L235">
        <f t="shared" si="11"/>
        <v>104222</v>
      </c>
      <c r="M235" t="str">
        <f t="shared" si="12"/>
        <v>19</v>
      </c>
    </row>
    <row r="236" spans="1:13" x14ac:dyDescent="0.3">
      <c r="A236" t="s">
        <v>245</v>
      </c>
      <c r="B236" t="s">
        <v>246</v>
      </c>
      <c r="C236" s="4" t="s">
        <v>435</v>
      </c>
      <c r="D236" t="s">
        <v>34</v>
      </c>
      <c r="E236" t="s">
        <v>11</v>
      </c>
      <c r="F236">
        <v>2</v>
      </c>
      <c r="G236">
        <v>25111</v>
      </c>
      <c r="H236" t="s">
        <v>67</v>
      </c>
      <c r="I236" t="s">
        <v>27</v>
      </c>
      <c r="J236" t="str">
        <f t="shared" si="10"/>
        <v>Debit Card</v>
      </c>
      <c r="K236" t="s">
        <v>21</v>
      </c>
      <c r="L236">
        <f t="shared" si="11"/>
        <v>50222</v>
      </c>
      <c r="M236" t="str">
        <f t="shared" si="12"/>
        <v>18</v>
      </c>
    </row>
    <row r="237" spans="1:13" x14ac:dyDescent="0.3">
      <c r="A237" t="s">
        <v>247</v>
      </c>
      <c r="B237" t="s">
        <v>214</v>
      </c>
      <c r="C237" s="4" t="s">
        <v>436</v>
      </c>
      <c r="D237" t="s">
        <v>16</v>
      </c>
      <c r="E237" t="s">
        <v>11</v>
      </c>
      <c r="F237">
        <v>2</v>
      </c>
      <c r="G237">
        <v>45111</v>
      </c>
      <c r="H237" t="s">
        <v>35</v>
      </c>
      <c r="I237" t="s">
        <v>32</v>
      </c>
      <c r="J237" t="str">
        <f t="shared" si="10"/>
        <v>Net Banking</v>
      </c>
      <c r="K237" t="s">
        <v>15</v>
      </c>
      <c r="L237">
        <f t="shared" si="11"/>
        <v>90222</v>
      </c>
      <c r="M237" t="str">
        <f t="shared" si="12"/>
        <v>19</v>
      </c>
    </row>
    <row r="238" spans="1:13" x14ac:dyDescent="0.3">
      <c r="A238" t="s">
        <v>248</v>
      </c>
      <c r="B238" t="s">
        <v>87</v>
      </c>
      <c r="C238" s="4" t="s">
        <v>427</v>
      </c>
      <c r="D238" t="s">
        <v>30</v>
      </c>
      <c r="E238" t="s">
        <v>31</v>
      </c>
      <c r="F238">
        <v>3</v>
      </c>
      <c r="G238">
        <v>9111</v>
      </c>
      <c r="H238" t="s">
        <v>67</v>
      </c>
      <c r="I238" t="s">
        <v>14</v>
      </c>
      <c r="J238" t="str">
        <f t="shared" si="10"/>
        <v>Credit Card</v>
      </c>
      <c r="K238" t="s">
        <v>15</v>
      </c>
      <c r="L238">
        <f t="shared" si="11"/>
        <v>27333</v>
      </c>
      <c r="M238" t="str">
        <f t="shared" si="12"/>
        <v>13</v>
      </c>
    </row>
    <row r="239" spans="1:13" x14ac:dyDescent="0.3">
      <c r="A239" t="s">
        <v>249</v>
      </c>
      <c r="B239" t="s">
        <v>197</v>
      </c>
      <c r="C239" s="4" t="s">
        <v>372</v>
      </c>
      <c r="D239" t="s">
        <v>16</v>
      </c>
      <c r="E239" t="s">
        <v>11</v>
      </c>
      <c r="F239">
        <v>4</v>
      </c>
      <c r="G239">
        <v>45111</v>
      </c>
      <c r="H239" t="s">
        <v>19</v>
      </c>
      <c r="I239" t="s">
        <v>32</v>
      </c>
      <c r="J239" t="str">
        <f t="shared" si="10"/>
        <v>Net Banking</v>
      </c>
      <c r="K239" t="s">
        <v>18</v>
      </c>
      <c r="L239">
        <f t="shared" si="11"/>
        <v>180444</v>
      </c>
      <c r="M239" t="str">
        <f t="shared" si="12"/>
        <v>12</v>
      </c>
    </row>
    <row r="240" spans="1:13" x14ac:dyDescent="0.3">
      <c r="A240" t="s">
        <v>250</v>
      </c>
      <c r="B240" t="s">
        <v>118</v>
      </c>
      <c r="C240" s="4" t="s">
        <v>329</v>
      </c>
      <c r="D240" t="s">
        <v>22</v>
      </c>
      <c r="E240" t="s">
        <v>23</v>
      </c>
      <c r="F240">
        <v>4</v>
      </c>
      <c r="G240">
        <v>411</v>
      </c>
      <c r="H240" t="s">
        <v>13</v>
      </c>
      <c r="I240" t="s">
        <v>27</v>
      </c>
      <c r="J240" t="str">
        <f>PROPER(TRIM(I241))</f>
        <v>Net Banking</v>
      </c>
      <c r="K240" t="s">
        <v>21</v>
      </c>
      <c r="L240">
        <f t="shared" si="11"/>
        <v>1644</v>
      </c>
      <c r="M240" t="str">
        <f t="shared" si="12"/>
        <v>11</v>
      </c>
    </row>
    <row r="241" spans="1:13" x14ac:dyDescent="0.3">
      <c r="A241" t="s">
        <v>251</v>
      </c>
      <c r="B241" t="s">
        <v>222</v>
      </c>
      <c r="C241" s="4" t="s">
        <v>437</v>
      </c>
      <c r="D241" t="s">
        <v>26</v>
      </c>
      <c r="E241" t="s">
        <v>11</v>
      </c>
      <c r="F241">
        <v>4</v>
      </c>
      <c r="G241">
        <v>22111</v>
      </c>
      <c r="H241" t="s">
        <v>17</v>
      </c>
      <c r="I241" t="s">
        <v>32</v>
      </c>
      <c r="J241" t="str">
        <f t="shared" si="10"/>
        <v>Net Banking</v>
      </c>
      <c r="K241" t="s">
        <v>21</v>
      </c>
      <c r="L241">
        <f t="shared" si="11"/>
        <v>88444</v>
      </c>
      <c r="M241" t="str">
        <f t="shared" si="12"/>
        <v>15</v>
      </c>
    </row>
    <row r="242" spans="1:13" x14ac:dyDescent="0.3">
      <c r="A242" t="s">
        <v>251</v>
      </c>
      <c r="B242" t="s">
        <v>148</v>
      </c>
      <c r="C242" s="4" t="s">
        <v>320</v>
      </c>
      <c r="D242" t="s">
        <v>34</v>
      </c>
      <c r="E242" t="s">
        <v>11</v>
      </c>
      <c r="F242">
        <v>1</v>
      </c>
      <c r="G242">
        <v>25111</v>
      </c>
      <c r="H242" t="s">
        <v>24</v>
      </c>
      <c r="I242" t="s">
        <v>27</v>
      </c>
      <c r="J242" t="str">
        <f t="shared" si="10"/>
        <v>Debit Card</v>
      </c>
      <c r="K242" t="s">
        <v>18</v>
      </c>
      <c r="L242">
        <f t="shared" si="11"/>
        <v>25111</v>
      </c>
      <c r="M242" t="str">
        <f t="shared" si="12"/>
        <v>11</v>
      </c>
    </row>
    <row r="243" spans="1:13" x14ac:dyDescent="0.3">
      <c r="A243" t="s">
        <v>252</v>
      </c>
      <c r="B243" t="s">
        <v>174</v>
      </c>
      <c r="C243" s="4" t="s">
        <v>329</v>
      </c>
      <c r="D243" t="s">
        <v>30</v>
      </c>
      <c r="E243" t="s">
        <v>31</v>
      </c>
      <c r="F243">
        <v>1</v>
      </c>
      <c r="G243">
        <v>9111</v>
      </c>
      <c r="H243" t="s">
        <v>13</v>
      </c>
      <c r="I243" t="s">
        <v>14</v>
      </c>
      <c r="J243" t="str">
        <f t="shared" si="10"/>
        <v>Credit Card</v>
      </c>
      <c r="K243" t="s">
        <v>18</v>
      </c>
      <c r="L243">
        <f t="shared" si="11"/>
        <v>9111</v>
      </c>
      <c r="M243" t="str">
        <f t="shared" si="12"/>
        <v>11</v>
      </c>
    </row>
    <row r="244" spans="1:13" x14ac:dyDescent="0.3">
      <c r="A244" t="s">
        <v>253</v>
      </c>
      <c r="B244" t="s">
        <v>118</v>
      </c>
      <c r="C244" s="4" t="s">
        <v>365</v>
      </c>
      <c r="D244" t="s">
        <v>28</v>
      </c>
      <c r="E244" t="s">
        <v>23</v>
      </c>
      <c r="F244">
        <v>4</v>
      </c>
      <c r="G244">
        <v>1811</v>
      </c>
      <c r="H244" t="s">
        <v>37</v>
      </c>
      <c r="I244" t="s">
        <v>14</v>
      </c>
      <c r="J244" t="str">
        <f t="shared" si="10"/>
        <v>Credit Card</v>
      </c>
      <c r="K244" t="s">
        <v>15</v>
      </c>
      <c r="L244">
        <f t="shared" si="11"/>
        <v>7244</v>
      </c>
      <c r="M244" t="str">
        <f t="shared" si="12"/>
        <v>13</v>
      </c>
    </row>
    <row r="245" spans="1:13" x14ac:dyDescent="0.3">
      <c r="A245" t="s">
        <v>254</v>
      </c>
      <c r="B245" t="s">
        <v>255</v>
      </c>
      <c r="C245" s="4" t="s">
        <v>256</v>
      </c>
      <c r="D245" t="s">
        <v>28</v>
      </c>
      <c r="E245" t="s">
        <v>23</v>
      </c>
      <c r="F245">
        <v>1</v>
      </c>
      <c r="G245">
        <v>711</v>
      </c>
      <c r="H245" t="s">
        <v>19</v>
      </c>
      <c r="I245" t="s">
        <v>20</v>
      </c>
      <c r="J245" t="str">
        <f t="shared" si="10"/>
        <v>Upi</v>
      </c>
      <c r="K245" t="s">
        <v>21</v>
      </c>
      <c r="L245">
        <f t="shared" si="11"/>
        <v>711</v>
      </c>
      <c r="M245" t="str">
        <f t="shared" si="12"/>
        <v>5/</v>
      </c>
    </row>
    <row r="246" spans="1:13" x14ac:dyDescent="0.3">
      <c r="A246" t="s">
        <v>257</v>
      </c>
      <c r="B246" t="s">
        <v>143</v>
      </c>
      <c r="C246" s="4" t="s">
        <v>438</v>
      </c>
      <c r="D246" t="s">
        <v>16</v>
      </c>
      <c r="E246" t="s">
        <v>11</v>
      </c>
      <c r="F246">
        <v>2</v>
      </c>
      <c r="G246">
        <v>61111</v>
      </c>
      <c r="H246" t="s">
        <v>13</v>
      </c>
      <c r="I246" t="s">
        <v>27</v>
      </c>
      <c r="J246" t="str">
        <f t="shared" si="10"/>
        <v>Debit Card</v>
      </c>
      <c r="K246" t="s">
        <v>15</v>
      </c>
      <c r="L246">
        <f t="shared" si="11"/>
        <v>122222</v>
      </c>
      <c r="M246" t="str">
        <f t="shared" si="12"/>
        <v>15</v>
      </c>
    </row>
    <row r="247" spans="1:13" x14ac:dyDescent="0.3">
      <c r="A247" t="s">
        <v>258</v>
      </c>
      <c r="B247" t="s">
        <v>199</v>
      </c>
      <c r="C247" s="4" t="s">
        <v>400</v>
      </c>
      <c r="D247" t="s">
        <v>34</v>
      </c>
      <c r="E247" t="s">
        <v>11</v>
      </c>
      <c r="F247">
        <v>1</v>
      </c>
      <c r="G247">
        <v>25111</v>
      </c>
      <c r="H247" t="s">
        <v>65</v>
      </c>
      <c r="I247" t="s">
        <v>25</v>
      </c>
      <c r="J247" t="str">
        <f t="shared" si="10"/>
        <v>Cash</v>
      </c>
      <c r="K247" t="s">
        <v>15</v>
      </c>
      <c r="L247">
        <f t="shared" si="11"/>
        <v>25111</v>
      </c>
      <c r="M247" t="str">
        <f t="shared" si="12"/>
        <v>19</v>
      </c>
    </row>
    <row r="248" spans="1:13" x14ac:dyDescent="0.3">
      <c r="A248" t="s">
        <v>259</v>
      </c>
      <c r="B248" t="s">
        <v>129</v>
      </c>
      <c r="C248" s="4" t="s">
        <v>260</v>
      </c>
      <c r="D248" t="s">
        <v>36</v>
      </c>
      <c r="E248" t="s">
        <v>23</v>
      </c>
      <c r="F248">
        <v>1</v>
      </c>
      <c r="G248">
        <v>2511</v>
      </c>
      <c r="H248" t="s">
        <v>65</v>
      </c>
      <c r="I248" t="s">
        <v>14</v>
      </c>
      <c r="J248" t="str">
        <f t="shared" si="10"/>
        <v>Credit Card</v>
      </c>
      <c r="K248" t="s">
        <v>18</v>
      </c>
      <c r="L248">
        <f t="shared" si="11"/>
        <v>2511</v>
      </c>
      <c r="M248" t="str">
        <f t="shared" si="12"/>
        <v>5/</v>
      </c>
    </row>
    <row r="249" spans="1:13" x14ac:dyDescent="0.3">
      <c r="A249" t="s">
        <v>261</v>
      </c>
      <c r="B249" t="s">
        <v>131</v>
      </c>
      <c r="C249" s="4" t="s">
        <v>319</v>
      </c>
      <c r="D249" t="s">
        <v>22</v>
      </c>
      <c r="E249" t="s">
        <v>23</v>
      </c>
      <c r="F249">
        <v>4</v>
      </c>
      <c r="G249">
        <v>1111</v>
      </c>
      <c r="H249" t="s">
        <v>29</v>
      </c>
      <c r="I249" t="s">
        <v>27</v>
      </c>
      <c r="J249" t="str">
        <f t="shared" si="10"/>
        <v>Debit Card</v>
      </c>
      <c r="K249" t="s">
        <v>21</v>
      </c>
      <c r="L249">
        <f t="shared" si="11"/>
        <v>4444</v>
      </c>
      <c r="M249" t="str">
        <f t="shared" si="12"/>
        <v>19</v>
      </c>
    </row>
    <row r="250" spans="1:13" x14ac:dyDescent="0.3">
      <c r="A250" t="s">
        <v>262</v>
      </c>
      <c r="B250" t="s">
        <v>96</v>
      </c>
      <c r="C250" s="4" t="s">
        <v>335</v>
      </c>
      <c r="D250" t="s">
        <v>26</v>
      </c>
      <c r="E250" t="s">
        <v>11</v>
      </c>
      <c r="F250">
        <v>3</v>
      </c>
      <c r="G250">
        <v>12111</v>
      </c>
      <c r="H250" t="s">
        <v>17</v>
      </c>
      <c r="I250" t="s">
        <v>20</v>
      </c>
      <c r="J250" t="str">
        <f>PROPER(TRIM(I251))</f>
        <v>Debit Card</v>
      </c>
      <c r="K250" t="s">
        <v>21</v>
      </c>
      <c r="L250">
        <f t="shared" si="11"/>
        <v>36333</v>
      </c>
      <c r="M250" t="str">
        <f t="shared" si="12"/>
        <v>12</v>
      </c>
    </row>
    <row r="251" spans="1:13" x14ac:dyDescent="0.3">
      <c r="A251" t="s">
        <v>263</v>
      </c>
      <c r="B251" t="s">
        <v>213</v>
      </c>
      <c r="C251" s="4" t="s">
        <v>332</v>
      </c>
      <c r="D251" t="s">
        <v>30</v>
      </c>
      <c r="E251" t="s">
        <v>31</v>
      </c>
      <c r="F251">
        <v>3</v>
      </c>
      <c r="G251">
        <v>6511</v>
      </c>
      <c r="H251" t="s">
        <v>35</v>
      </c>
      <c r="I251" t="s">
        <v>27</v>
      </c>
      <c r="J251" t="str">
        <f t="shared" si="10"/>
        <v>Debit Card</v>
      </c>
      <c r="K251" t="s">
        <v>21</v>
      </c>
      <c r="L251">
        <f t="shared" si="11"/>
        <v>19533</v>
      </c>
      <c r="M251" t="str">
        <f t="shared" si="12"/>
        <v>14</v>
      </c>
    </row>
    <row r="252" spans="1:13" x14ac:dyDescent="0.3">
      <c r="A252" t="s">
        <v>263</v>
      </c>
      <c r="B252" t="s">
        <v>162</v>
      </c>
      <c r="C252" s="4" t="s">
        <v>357</v>
      </c>
      <c r="D252" t="s">
        <v>22</v>
      </c>
      <c r="E252" t="s">
        <v>23</v>
      </c>
      <c r="F252">
        <v>2</v>
      </c>
      <c r="G252">
        <v>411</v>
      </c>
      <c r="H252" t="s">
        <v>67</v>
      </c>
      <c r="I252" t="s">
        <v>27</v>
      </c>
      <c r="J252" t="str">
        <f t="shared" si="10"/>
        <v>Debit Card</v>
      </c>
      <c r="K252" t="s">
        <v>15</v>
      </c>
      <c r="L252">
        <f t="shared" si="11"/>
        <v>822</v>
      </c>
      <c r="M252" t="str">
        <f t="shared" si="12"/>
        <v>12</v>
      </c>
    </row>
    <row r="253" spans="1:13" x14ac:dyDescent="0.3">
      <c r="A253" t="s">
        <v>264</v>
      </c>
      <c r="B253" t="s">
        <v>211</v>
      </c>
      <c r="C253" s="4" t="s">
        <v>405</v>
      </c>
      <c r="D253" t="s">
        <v>22</v>
      </c>
      <c r="E253" t="s">
        <v>23</v>
      </c>
      <c r="F253">
        <v>4</v>
      </c>
      <c r="G253">
        <v>711</v>
      </c>
      <c r="H253" t="s">
        <v>13</v>
      </c>
      <c r="I253" t="s">
        <v>25</v>
      </c>
      <c r="J253" t="str">
        <f t="shared" si="10"/>
        <v>Cash</v>
      </c>
      <c r="K253" t="s">
        <v>15</v>
      </c>
      <c r="L253">
        <f t="shared" si="11"/>
        <v>2844</v>
      </c>
      <c r="M253" t="str">
        <f t="shared" si="12"/>
        <v>11</v>
      </c>
    </row>
    <row r="254" spans="1:13" x14ac:dyDescent="0.3">
      <c r="A254" t="s">
        <v>265</v>
      </c>
      <c r="B254" t="s">
        <v>129</v>
      </c>
      <c r="C254" s="4" t="s">
        <v>321</v>
      </c>
      <c r="D254" t="s">
        <v>10</v>
      </c>
      <c r="E254" t="s">
        <v>11</v>
      </c>
      <c r="F254">
        <v>4</v>
      </c>
      <c r="G254">
        <v>42111</v>
      </c>
      <c r="H254" t="s">
        <v>17</v>
      </c>
      <c r="I254" t="s">
        <v>27</v>
      </c>
      <c r="J254" t="str">
        <f t="shared" si="10"/>
        <v>Debit Card</v>
      </c>
      <c r="K254" t="s">
        <v>21</v>
      </c>
      <c r="L254">
        <f t="shared" si="11"/>
        <v>168444</v>
      </c>
      <c r="M254" t="str">
        <f t="shared" si="12"/>
        <v>11</v>
      </c>
    </row>
    <row r="255" spans="1:13" x14ac:dyDescent="0.3">
      <c r="A255" t="s">
        <v>266</v>
      </c>
      <c r="B255" t="s">
        <v>99</v>
      </c>
      <c r="C255" s="4" t="s">
        <v>340</v>
      </c>
      <c r="D255" t="s">
        <v>36</v>
      </c>
      <c r="E255" t="s">
        <v>23</v>
      </c>
      <c r="F255">
        <v>1</v>
      </c>
      <c r="G255">
        <v>1811</v>
      </c>
      <c r="H255" t="s">
        <v>17</v>
      </c>
      <c r="I255" t="s">
        <v>32</v>
      </c>
      <c r="J255" t="str">
        <f t="shared" si="10"/>
        <v>Net Banking</v>
      </c>
      <c r="K255" t="s">
        <v>15</v>
      </c>
      <c r="L255">
        <f t="shared" si="11"/>
        <v>1811</v>
      </c>
      <c r="M255" t="str">
        <f t="shared" si="12"/>
        <v>15</v>
      </c>
    </row>
    <row r="256" spans="1:13" x14ac:dyDescent="0.3">
      <c r="A256" t="s">
        <v>267</v>
      </c>
      <c r="B256" t="s">
        <v>125</v>
      </c>
      <c r="C256" s="4" t="s">
        <v>358</v>
      </c>
      <c r="D256" t="s">
        <v>30</v>
      </c>
      <c r="E256" t="s">
        <v>31</v>
      </c>
      <c r="F256">
        <v>1</v>
      </c>
      <c r="G256">
        <v>2511</v>
      </c>
      <c r="H256" t="s">
        <v>67</v>
      </c>
      <c r="I256" t="s">
        <v>27</v>
      </c>
      <c r="J256" t="str">
        <f t="shared" si="10"/>
        <v>Debit Card</v>
      </c>
      <c r="K256" t="s">
        <v>15</v>
      </c>
      <c r="L256">
        <f t="shared" si="11"/>
        <v>2511</v>
      </c>
      <c r="M256" t="str">
        <f t="shared" si="12"/>
        <v>11</v>
      </c>
    </row>
    <row r="257" spans="1:13" x14ac:dyDescent="0.3">
      <c r="A257" t="s">
        <v>268</v>
      </c>
      <c r="B257" t="s">
        <v>197</v>
      </c>
      <c r="C257" s="4" t="s">
        <v>412</v>
      </c>
      <c r="D257" t="s">
        <v>26</v>
      </c>
      <c r="E257" t="s">
        <v>11</v>
      </c>
      <c r="F257">
        <v>2</v>
      </c>
      <c r="G257">
        <v>16111</v>
      </c>
      <c r="H257" t="s">
        <v>24</v>
      </c>
      <c r="I257" t="s">
        <v>14</v>
      </c>
      <c r="J257" t="str">
        <f t="shared" si="10"/>
        <v>Credit Card</v>
      </c>
      <c r="K257" t="s">
        <v>15</v>
      </c>
      <c r="L257">
        <f t="shared" si="11"/>
        <v>32222</v>
      </c>
      <c r="M257" t="str">
        <f t="shared" si="12"/>
        <v>12</v>
      </c>
    </row>
    <row r="258" spans="1:13" x14ac:dyDescent="0.3">
      <c r="A258" t="s">
        <v>269</v>
      </c>
      <c r="B258" t="s">
        <v>92</v>
      </c>
      <c r="C258" s="4" t="s">
        <v>439</v>
      </c>
      <c r="D258" t="s">
        <v>16</v>
      </c>
      <c r="E258" t="s">
        <v>11</v>
      </c>
      <c r="F258">
        <v>3</v>
      </c>
      <c r="G258">
        <v>61111</v>
      </c>
      <c r="H258" t="s">
        <v>67</v>
      </c>
      <c r="I258" t="s">
        <v>14</v>
      </c>
      <c r="J258" t="str">
        <f t="shared" ref="J258:J299" si="14">PROPER(TRIM(I258))</f>
        <v>Credit Card</v>
      </c>
      <c r="K258" t="s">
        <v>18</v>
      </c>
      <c r="L258">
        <f t="shared" ref="L258:L303" si="15">F258*G258</f>
        <v>183333</v>
      </c>
      <c r="M258" t="str">
        <f t="shared" ref="M258:M301" si="16">IFERROR(MID(C258,4,2),"")</f>
        <v>17</v>
      </c>
    </row>
    <row r="259" spans="1:13" x14ac:dyDescent="0.3">
      <c r="A259" t="s">
        <v>270</v>
      </c>
      <c r="B259" t="s">
        <v>181</v>
      </c>
      <c r="C259" s="4" t="s">
        <v>384</v>
      </c>
      <c r="D259" t="s">
        <v>16</v>
      </c>
      <c r="E259" t="s">
        <v>11</v>
      </c>
      <c r="F259">
        <v>2</v>
      </c>
      <c r="G259">
        <v>52111</v>
      </c>
      <c r="H259" t="s">
        <v>37</v>
      </c>
      <c r="I259" t="s">
        <v>25</v>
      </c>
      <c r="J259" t="str">
        <f t="shared" si="14"/>
        <v>Cash</v>
      </c>
      <c r="K259" t="s">
        <v>21</v>
      </c>
      <c r="L259">
        <f t="shared" si="15"/>
        <v>104222</v>
      </c>
      <c r="M259" t="str">
        <f t="shared" si="16"/>
        <v>12</v>
      </c>
    </row>
    <row r="260" spans="1:13" x14ac:dyDescent="0.3">
      <c r="A260" t="s">
        <v>271</v>
      </c>
      <c r="B260" t="s">
        <v>74</v>
      </c>
      <c r="C260" s="4" t="s">
        <v>411</v>
      </c>
      <c r="D260" t="s">
        <v>16</v>
      </c>
      <c r="E260" t="s">
        <v>23</v>
      </c>
      <c r="F260">
        <v>1</v>
      </c>
      <c r="G260">
        <v>1111</v>
      </c>
      <c r="H260" t="s">
        <v>24</v>
      </c>
      <c r="I260" t="s">
        <v>25</v>
      </c>
      <c r="J260" t="str">
        <f>PROPER(TRIM(I261))</f>
        <v>Debit Card</v>
      </c>
      <c r="K260" t="s">
        <v>21</v>
      </c>
      <c r="L260">
        <f t="shared" si="15"/>
        <v>1111</v>
      </c>
      <c r="M260" t="str">
        <f t="shared" si="16"/>
        <v>17</v>
      </c>
    </row>
    <row r="261" spans="1:13" x14ac:dyDescent="0.3">
      <c r="A261" t="s">
        <v>272</v>
      </c>
      <c r="B261" t="s">
        <v>109</v>
      </c>
      <c r="C261" s="4" t="s">
        <v>440</v>
      </c>
      <c r="D261" t="s">
        <v>36</v>
      </c>
      <c r="E261" t="s">
        <v>23</v>
      </c>
      <c r="F261">
        <v>2</v>
      </c>
      <c r="G261">
        <v>3511</v>
      </c>
      <c r="H261" t="s">
        <v>13</v>
      </c>
      <c r="I261" t="s">
        <v>27</v>
      </c>
      <c r="J261" t="str">
        <f t="shared" si="14"/>
        <v>Debit Card</v>
      </c>
      <c r="K261" t="s">
        <v>15</v>
      </c>
      <c r="L261">
        <f t="shared" si="15"/>
        <v>7022</v>
      </c>
      <c r="M261" t="str">
        <f t="shared" si="16"/>
        <v>12</v>
      </c>
    </row>
    <row r="262" spans="1:13" x14ac:dyDescent="0.3">
      <c r="A262" t="s">
        <v>272</v>
      </c>
      <c r="B262" t="s">
        <v>74</v>
      </c>
      <c r="C262" s="4" t="s">
        <v>441</v>
      </c>
      <c r="D262" t="s">
        <v>10</v>
      </c>
      <c r="E262" t="s">
        <v>11</v>
      </c>
      <c r="F262">
        <v>4</v>
      </c>
      <c r="G262">
        <v>22111</v>
      </c>
      <c r="H262" t="s">
        <v>35</v>
      </c>
      <c r="I262" t="s">
        <v>14</v>
      </c>
      <c r="J262" t="str">
        <f t="shared" si="14"/>
        <v>Credit Card</v>
      </c>
      <c r="K262" t="s">
        <v>21</v>
      </c>
      <c r="L262">
        <f t="shared" si="15"/>
        <v>88444</v>
      </c>
      <c r="M262" t="str">
        <f t="shared" si="16"/>
        <v>13</v>
      </c>
    </row>
    <row r="263" spans="1:13" x14ac:dyDescent="0.3">
      <c r="A263" t="s">
        <v>273</v>
      </c>
      <c r="B263" t="s">
        <v>118</v>
      </c>
      <c r="C263" s="4" t="s">
        <v>376</v>
      </c>
      <c r="D263" t="s">
        <v>30</v>
      </c>
      <c r="E263" t="s">
        <v>31</v>
      </c>
      <c r="F263">
        <v>3</v>
      </c>
      <c r="G263">
        <v>4111</v>
      </c>
      <c r="H263" t="s">
        <v>13</v>
      </c>
      <c r="I263" t="s">
        <v>39</v>
      </c>
      <c r="J263" t="str">
        <f t="shared" si="14"/>
        <v>Upi</v>
      </c>
      <c r="K263" t="s">
        <v>18</v>
      </c>
      <c r="L263">
        <f t="shared" si="15"/>
        <v>12333</v>
      </c>
      <c r="M263" t="str">
        <f t="shared" si="16"/>
        <v>12</v>
      </c>
    </row>
    <row r="264" spans="1:13" x14ac:dyDescent="0.3">
      <c r="A264" t="s">
        <v>274</v>
      </c>
      <c r="B264" t="s">
        <v>115</v>
      </c>
      <c r="C264" s="4" t="s">
        <v>411</v>
      </c>
      <c r="D264" t="s">
        <v>28</v>
      </c>
      <c r="E264" t="s">
        <v>23</v>
      </c>
      <c r="F264">
        <v>4</v>
      </c>
      <c r="G264">
        <v>711</v>
      </c>
      <c r="H264" t="s">
        <v>29</v>
      </c>
      <c r="I264" t="s">
        <v>25</v>
      </c>
      <c r="J264" t="str">
        <f t="shared" si="14"/>
        <v>Cash</v>
      </c>
      <c r="K264" t="s">
        <v>65</v>
      </c>
      <c r="L264">
        <f t="shared" si="15"/>
        <v>2844</v>
      </c>
      <c r="M264" t="str">
        <f t="shared" si="16"/>
        <v>17</v>
      </c>
    </row>
    <row r="265" spans="1:13" x14ac:dyDescent="0.3">
      <c r="A265" t="s">
        <v>275</v>
      </c>
      <c r="B265" t="s">
        <v>127</v>
      </c>
      <c r="C265" s="4" t="s">
        <v>342</v>
      </c>
      <c r="D265" t="s">
        <v>10</v>
      </c>
      <c r="E265" t="s">
        <v>11</v>
      </c>
      <c r="F265">
        <v>1</v>
      </c>
      <c r="G265">
        <v>15111</v>
      </c>
      <c r="H265" t="s">
        <v>24</v>
      </c>
      <c r="I265" t="s">
        <v>20</v>
      </c>
      <c r="J265" t="str">
        <f t="shared" si="14"/>
        <v>Upi</v>
      </c>
      <c r="K265" t="s">
        <v>18</v>
      </c>
      <c r="L265">
        <f t="shared" si="15"/>
        <v>15111</v>
      </c>
      <c r="M265" t="str">
        <f t="shared" si="16"/>
        <v>18</v>
      </c>
    </row>
    <row r="266" spans="1:13" x14ac:dyDescent="0.3">
      <c r="A266" t="s">
        <v>276</v>
      </c>
      <c r="B266" t="s">
        <v>87</v>
      </c>
      <c r="C266" s="4" t="s">
        <v>343</v>
      </c>
      <c r="D266" t="s">
        <v>26</v>
      </c>
      <c r="E266" t="s">
        <v>11</v>
      </c>
      <c r="F266">
        <v>2</v>
      </c>
      <c r="G266">
        <v>22111</v>
      </c>
      <c r="H266" t="s">
        <v>66</v>
      </c>
      <c r="I266" t="s">
        <v>14</v>
      </c>
      <c r="J266" t="str">
        <f t="shared" si="14"/>
        <v>Credit Card</v>
      </c>
      <c r="K266" t="s">
        <v>21</v>
      </c>
      <c r="L266">
        <f t="shared" si="15"/>
        <v>44222</v>
      </c>
      <c r="M266" t="str">
        <f t="shared" si="16"/>
        <v>11</v>
      </c>
    </row>
    <row r="267" spans="1:13" x14ac:dyDescent="0.3">
      <c r="A267" t="s">
        <v>277</v>
      </c>
      <c r="B267" t="s">
        <v>218</v>
      </c>
      <c r="C267" s="4" t="s">
        <v>439</v>
      </c>
      <c r="D267" t="s">
        <v>16</v>
      </c>
      <c r="E267" t="s">
        <v>11</v>
      </c>
      <c r="F267">
        <v>2</v>
      </c>
      <c r="G267">
        <v>45111</v>
      </c>
      <c r="H267" t="s">
        <v>37</v>
      </c>
      <c r="I267" t="s">
        <v>14</v>
      </c>
      <c r="J267" t="str">
        <f t="shared" si="14"/>
        <v>Credit Card</v>
      </c>
      <c r="K267" t="s">
        <v>18</v>
      </c>
      <c r="L267">
        <f t="shared" si="15"/>
        <v>90222</v>
      </c>
      <c r="M267" t="str">
        <f t="shared" si="16"/>
        <v>17</v>
      </c>
    </row>
    <row r="268" spans="1:13" x14ac:dyDescent="0.3">
      <c r="A268" t="s">
        <v>278</v>
      </c>
      <c r="B268" t="s">
        <v>148</v>
      </c>
      <c r="C268" s="4" t="s">
        <v>323</v>
      </c>
      <c r="D268" t="s">
        <v>30</v>
      </c>
      <c r="E268" t="s">
        <v>31</v>
      </c>
      <c r="F268">
        <v>1</v>
      </c>
      <c r="G268">
        <v>4111</v>
      </c>
      <c r="H268" t="s">
        <v>13</v>
      </c>
      <c r="I268" t="s">
        <v>25</v>
      </c>
      <c r="J268" t="str">
        <f t="shared" si="14"/>
        <v>Cash</v>
      </c>
      <c r="K268" t="s">
        <v>21</v>
      </c>
      <c r="L268">
        <f t="shared" si="15"/>
        <v>4111</v>
      </c>
      <c r="M268" t="str">
        <f t="shared" si="16"/>
        <v>12</v>
      </c>
    </row>
    <row r="269" spans="1:13" x14ac:dyDescent="0.3">
      <c r="A269" t="s">
        <v>279</v>
      </c>
      <c r="B269" t="s">
        <v>78</v>
      </c>
      <c r="C269" s="4" t="s">
        <v>442</v>
      </c>
      <c r="D269" t="s">
        <v>10</v>
      </c>
      <c r="E269" t="s">
        <v>23</v>
      </c>
      <c r="F269" t="s">
        <v>40</v>
      </c>
      <c r="G269">
        <v>1811</v>
      </c>
      <c r="H269" t="s">
        <v>35</v>
      </c>
      <c r="I269" t="s">
        <v>14</v>
      </c>
      <c r="J269" t="str">
        <f t="shared" si="14"/>
        <v>Credit Card</v>
      </c>
      <c r="K269" t="s">
        <v>15</v>
      </c>
      <c r="L269">
        <f t="shared" si="15"/>
        <v>7244</v>
      </c>
      <c r="M269" t="str">
        <f t="shared" si="16"/>
        <v>19</v>
      </c>
    </row>
    <row r="270" spans="1:13" x14ac:dyDescent="0.3">
      <c r="A270" t="s">
        <v>280</v>
      </c>
      <c r="B270" t="s">
        <v>118</v>
      </c>
      <c r="C270" s="4" t="s">
        <v>404</v>
      </c>
      <c r="D270" t="s">
        <v>30</v>
      </c>
      <c r="E270" t="s">
        <v>31</v>
      </c>
      <c r="F270">
        <v>3</v>
      </c>
      <c r="G270">
        <v>9111</v>
      </c>
      <c r="H270" t="s">
        <v>35</v>
      </c>
      <c r="I270" t="s">
        <v>25</v>
      </c>
      <c r="J270" t="str">
        <f>PROPER(TRIM(I271))</f>
        <v>Upi</v>
      </c>
      <c r="K270" t="s">
        <v>21</v>
      </c>
      <c r="L270">
        <f t="shared" si="15"/>
        <v>27333</v>
      </c>
      <c r="M270" t="str">
        <f t="shared" si="16"/>
        <v>15</v>
      </c>
    </row>
    <row r="271" spans="1:13" x14ac:dyDescent="0.3">
      <c r="A271" t="s">
        <v>281</v>
      </c>
      <c r="B271" t="s">
        <v>86</v>
      </c>
      <c r="C271" s="4" t="s">
        <v>356</v>
      </c>
      <c r="D271" t="s">
        <v>30</v>
      </c>
      <c r="E271" t="s">
        <v>31</v>
      </c>
      <c r="F271">
        <v>1</v>
      </c>
      <c r="G271">
        <v>9111</v>
      </c>
      <c r="H271" t="s">
        <v>37</v>
      </c>
      <c r="I271" t="s">
        <v>20</v>
      </c>
      <c r="J271" t="str">
        <f t="shared" si="14"/>
        <v>Upi</v>
      </c>
      <c r="K271" t="s">
        <v>21</v>
      </c>
      <c r="L271">
        <f t="shared" si="15"/>
        <v>9111</v>
      </c>
      <c r="M271" t="str">
        <f t="shared" si="16"/>
        <v>17</v>
      </c>
    </row>
    <row r="272" spans="1:13" x14ac:dyDescent="0.3">
      <c r="A272" t="s">
        <v>281</v>
      </c>
      <c r="B272" t="s">
        <v>227</v>
      </c>
      <c r="C272" s="4" t="s">
        <v>381</v>
      </c>
      <c r="D272" t="s">
        <v>22</v>
      </c>
      <c r="E272" t="s">
        <v>23</v>
      </c>
      <c r="F272">
        <v>2</v>
      </c>
      <c r="G272">
        <v>411</v>
      </c>
      <c r="H272" t="s">
        <v>35</v>
      </c>
      <c r="I272" t="s">
        <v>20</v>
      </c>
      <c r="J272" t="str">
        <f t="shared" si="14"/>
        <v>Upi</v>
      </c>
      <c r="K272" t="s">
        <v>15</v>
      </c>
      <c r="L272">
        <f t="shared" si="15"/>
        <v>822</v>
      </c>
      <c r="M272" t="str">
        <f t="shared" si="16"/>
        <v>12</v>
      </c>
    </row>
    <row r="273" spans="1:13" x14ac:dyDescent="0.3">
      <c r="A273" t="s">
        <v>282</v>
      </c>
      <c r="B273" t="s">
        <v>231</v>
      </c>
      <c r="C273" s="4" t="s">
        <v>418</v>
      </c>
      <c r="D273" t="s">
        <v>28</v>
      </c>
      <c r="E273" t="s">
        <v>23</v>
      </c>
      <c r="F273">
        <v>1</v>
      </c>
      <c r="G273" s="5">
        <v>1811</v>
      </c>
      <c r="H273" t="s">
        <v>17</v>
      </c>
      <c r="I273" t="s">
        <v>25</v>
      </c>
      <c r="J273" t="str">
        <f t="shared" si="14"/>
        <v>Cash</v>
      </c>
      <c r="K273" t="s">
        <v>15</v>
      </c>
      <c r="L273">
        <f t="shared" si="15"/>
        <v>1811</v>
      </c>
      <c r="M273" t="str">
        <f t="shared" si="16"/>
        <v>13</v>
      </c>
    </row>
    <row r="274" spans="1:13" x14ac:dyDescent="0.3">
      <c r="A274" t="s">
        <v>283</v>
      </c>
      <c r="B274" t="s">
        <v>74</v>
      </c>
      <c r="C274" s="4" t="s">
        <v>284</v>
      </c>
      <c r="D274" t="s">
        <v>22</v>
      </c>
      <c r="E274" t="s">
        <v>23</v>
      </c>
      <c r="F274">
        <v>2</v>
      </c>
      <c r="G274">
        <v>711</v>
      </c>
      <c r="H274" t="s">
        <v>13</v>
      </c>
      <c r="I274" t="s">
        <v>25</v>
      </c>
      <c r="J274" t="str">
        <f t="shared" si="14"/>
        <v>Cash</v>
      </c>
      <c r="K274" t="s">
        <v>18</v>
      </c>
      <c r="L274">
        <f t="shared" si="15"/>
        <v>1422</v>
      </c>
      <c r="M274" t="str">
        <f t="shared" si="16"/>
        <v>5/</v>
      </c>
    </row>
    <row r="275" spans="1:13" x14ac:dyDescent="0.3">
      <c r="A275" t="s">
        <v>285</v>
      </c>
      <c r="B275" t="s">
        <v>197</v>
      </c>
      <c r="C275" s="4" t="s">
        <v>440</v>
      </c>
      <c r="D275" t="s">
        <v>36</v>
      </c>
      <c r="E275" t="s">
        <v>23</v>
      </c>
      <c r="F275">
        <v>4</v>
      </c>
      <c r="G275">
        <v>3511</v>
      </c>
      <c r="H275" t="s">
        <v>29</v>
      </c>
      <c r="I275" t="s">
        <v>32</v>
      </c>
      <c r="J275" t="str">
        <f t="shared" si="14"/>
        <v>Net Banking</v>
      </c>
      <c r="K275" t="s">
        <v>18</v>
      </c>
      <c r="L275">
        <f t="shared" si="15"/>
        <v>14044</v>
      </c>
      <c r="M275" t="str">
        <f t="shared" si="16"/>
        <v>12</v>
      </c>
    </row>
    <row r="276" spans="1:13" x14ac:dyDescent="0.3">
      <c r="A276" t="s">
        <v>286</v>
      </c>
      <c r="B276" t="s">
        <v>146</v>
      </c>
      <c r="C276" s="4" t="s">
        <v>362</v>
      </c>
      <c r="D276" t="s">
        <v>34</v>
      </c>
      <c r="E276" t="s">
        <v>11</v>
      </c>
      <c r="F276">
        <v>2</v>
      </c>
      <c r="G276">
        <v>18111</v>
      </c>
      <c r="H276" t="s">
        <v>24</v>
      </c>
      <c r="I276" t="s">
        <v>32</v>
      </c>
      <c r="J276" t="str">
        <f t="shared" si="14"/>
        <v>Net Banking</v>
      </c>
      <c r="K276" t="s">
        <v>18</v>
      </c>
      <c r="L276">
        <f t="shared" si="15"/>
        <v>36222</v>
      </c>
      <c r="M276" t="str">
        <f t="shared" si="16"/>
        <v>11</v>
      </c>
    </row>
    <row r="277" spans="1:13" x14ac:dyDescent="0.3">
      <c r="A277" t="s">
        <v>287</v>
      </c>
      <c r="B277" t="s">
        <v>288</v>
      </c>
      <c r="C277" s="4" t="s">
        <v>408</v>
      </c>
      <c r="D277" t="s">
        <v>28</v>
      </c>
      <c r="E277" t="s">
        <v>23</v>
      </c>
      <c r="F277">
        <v>2</v>
      </c>
      <c r="G277">
        <v>1811</v>
      </c>
      <c r="H277" t="s">
        <v>35</v>
      </c>
      <c r="I277" t="s">
        <v>32</v>
      </c>
      <c r="J277" t="str">
        <f t="shared" si="14"/>
        <v>Net Banking</v>
      </c>
      <c r="K277" t="s">
        <v>21</v>
      </c>
      <c r="L277">
        <f t="shared" si="15"/>
        <v>3622</v>
      </c>
      <c r="M277" t="str">
        <f t="shared" si="16"/>
        <v>16</v>
      </c>
    </row>
    <row r="278" spans="1:13" x14ac:dyDescent="0.3">
      <c r="A278" t="s">
        <v>289</v>
      </c>
      <c r="B278" t="s">
        <v>138</v>
      </c>
      <c r="C278" s="4" t="s">
        <v>373</v>
      </c>
      <c r="D278" t="s">
        <v>34</v>
      </c>
      <c r="E278" t="s">
        <v>11</v>
      </c>
      <c r="F278" t="s">
        <v>41</v>
      </c>
      <c r="G278">
        <v>12111</v>
      </c>
      <c r="H278" t="s">
        <v>17</v>
      </c>
      <c r="I278" t="s">
        <v>27</v>
      </c>
      <c r="J278" t="str">
        <f t="shared" si="14"/>
        <v>Debit Card</v>
      </c>
      <c r="K278" t="s">
        <v>21</v>
      </c>
      <c r="L278">
        <f t="shared" si="15"/>
        <v>36333</v>
      </c>
      <c r="M278" t="str">
        <f t="shared" si="16"/>
        <v>14</v>
      </c>
    </row>
    <row r="279" spans="1:13" x14ac:dyDescent="0.3">
      <c r="A279" t="s">
        <v>290</v>
      </c>
      <c r="B279" t="s">
        <v>115</v>
      </c>
      <c r="C279" s="4" t="s">
        <v>314</v>
      </c>
      <c r="D279" t="s">
        <v>22</v>
      </c>
      <c r="E279" t="s">
        <v>23</v>
      </c>
      <c r="F279">
        <v>2</v>
      </c>
      <c r="G279">
        <v>411</v>
      </c>
      <c r="H279" t="s">
        <v>67</v>
      </c>
      <c r="I279" t="s">
        <v>32</v>
      </c>
      <c r="J279" t="str">
        <f t="shared" si="14"/>
        <v>Net Banking</v>
      </c>
      <c r="K279" t="s">
        <v>18</v>
      </c>
      <c r="L279">
        <f t="shared" si="15"/>
        <v>822</v>
      </c>
      <c r="M279" t="str">
        <f t="shared" si="16"/>
        <v>11</v>
      </c>
    </row>
    <row r="280" spans="1:13" x14ac:dyDescent="0.3">
      <c r="A280" t="s">
        <v>291</v>
      </c>
      <c r="B280" t="s">
        <v>107</v>
      </c>
      <c r="C280" s="4" t="s">
        <v>431</v>
      </c>
      <c r="D280" t="s">
        <v>28</v>
      </c>
      <c r="E280" t="s">
        <v>23</v>
      </c>
      <c r="F280">
        <v>3</v>
      </c>
      <c r="G280">
        <v>1211</v>
      </c>
      <c r="H280" t="s">
        <v>35</v>
      </c>
      <c r="I280" t="s">
        <v>14</v>
      </c>
      <c r="J280" t="str">
        <f>PROPER(TRIM(I281))</f>
        <v>Upi</v>
      </c>
      <c r="K280" t="s">
        <v>21</v>
      </c>
      <c r="L280">
        <f t="shared" si="15"/>
        <v>3633</v>
      </c>
      <c r="M280" t="str">
        <f t="shared" si="16"/>
        <v>15</v>
      </c>
    </row>
    <row r="281" spans="1:13" x14ac:dyDescent="0.3">
      <c r="A281" t="s">
        <v>292</v>
      </c>
      <c r="B281" t="s">
        <v>74</v>
      </c>
      <c r="C281" s="4" t="s">
        <v>400</v>
      </c>
      <c r="D281" t="s">
        <v>26</v>
      </c>
      <c r="E281" t="s">
        <v>11</v>
      </c>
      <c r="F281">
        <v>2</v>
      </c>
      <c r="G281">
        <v>9111</v>
      </c>
      <c r="H281" t="s">
        <v>19</v>
      </c>
      <c r="I281" t="s">
        <v>20</v>
      </c>
      <c r="J281" t="str">
        <f t="shared" si="14"/>
        <v>Upi</v>
      </c>
      <c r="K281" t="s">
        <v>18</v>
      </c>
      <c r="L281">
        <f t="shared" si="15"/>
        <v>18222</v>
      </c>
      <c r="M281" t="str">
        <f t="shared" si="16"/>
        <v>19</v>
      </c>
    </row>
    <row r="282" spans="1:13" x14ac:dyDescent="0.3">
      <c r="A282" t="s">
        <v>292</v>
      </c>
      <c r="B282" t="s">
        <v>293</v>
      </c>
      <c r="C282" s="4" t="s">
        <v>443</v>
      </c>
      <c r="D282" t="s">
        <v>22</v>
      </c>
      <c r="E282" t="s">
        <v>23</v>
      </c>
      <c r="F282">
        <v>3</v>
      </c>
      <c r="G282">
        <v>711</v>
      </c>
      <c r="H282" t="s">
        <v>37</v>
      </c>
      <c r="I282" t="s">
        <v>32</v>
      </c>
      <c r="J282" t="str">
        <f t="shared" si="14"/>
        <v>Net Banking</v>
      </c>
      <c r="K282" t="s">
        <v>21</v>
      </c>
      <c r="L282">
        <f t="shared" si="15"/>
        <v>2133</v>
      </c>
      <c r="M282" t="str">
        <f t="shared" si="16"/>
        <v>13</v>
      </c>
    </row>
    <row r="283" spans="1:13" x14ac:dyDescent="0.3">
      <c r="A283" t="s">
        <v>294</v>
      </c>
      <c r="B283" t="s">
        <v>123</v>
      </c>
      <c r="C283" s="4" t="s">
        <v>366</v>
      </c>
      <c r="D283" t="s">
        <v>22</v>
      </c>
      <c r="E283" t="s">
        <v>23</v>
      </c>
      <c r="F283">
        <v>4</v>
      </c>
      <c r="G283">
        <v>411</v>
      </c>
      <c r="H283" t="s">
        <v>19</v>
      </c>
      <c r="I283" t="s">
        <v>20</v>
      </c>
      <c r="J283" t="str">
        <f t="shared" si="14"/>
        <v>Upi</v>
      </c>
      <c r="K283" t="s">
        <v>18</v>
      </c>
      <c r="L283">
        <f t="shared" si="15"/>
        <v>1644</v>
      </c>
      <c r="M283" t="str">
        <f t="shared" si="16"/>
        <v>18</v>
      </c>
    </row>
    <row r="284" spans="1:13" x14ac:dyDescent="0.3">
      <c r="A284" t="s">
        <v>295</v>
      </c>
      <c r="B284" t="s">
        <v>158</v>
      </c>
      <c r="C284" s="4" t="s">
        <v>323</v>
      </c>
      <c r="D284" t="s">
        <v>28</v>
      </c>
      <c r="E284" t="s">
        <v>23</v>
      </c>
      <c r="F284">
        <v>2</v>
      </c>
      <c r="G284">
        <v>1211</v>
      </c>
      <c r="H284" t="s">
        <v>35</v>
      </c>
      <c r="I284" t="s">
        <v>14</v>
      </c>
      <c r="J284" t="str">
        <f t="shared" si="14"/>
        <v>Credit Card</v>
      </c>
      <c r="K284" t="s">
        <v>21</v>
      </c>
      <c r="L284">
        <f t="shared" si="15"/>
        <v>2422</v>
      </c>
      <c r="M284" t="str">
        <f t="shared" si="16"/>
        <v>12</v>
      </c>
    </row>
    <row r="285" spans="1:13" x14ac:dyDescent="0.3">
      <c r="A285" t="s">
        <v>296</v>
      </c>
      <c r="B285" t="s">
        <v>109</v>
      </c>
      <c r="C285" s="4" t="s">
        <v>400</v>
      </c>
      <c r="D285" t="s">
        <v>28</v>
      </c>
      <c r="E285" t="s">
        <v>23</v>
      </c>
      <c r="F285">
        <v>1</v>
      </c>
      <c r="G285">
        <v>1211</v>
      </c>
      <c r="H285" t="s">
        <v>35</v>
      </c>
      <c r="I285" t="s">
        <v>25</v>
      </c>
      <c r="J285" t="str">
        <f t="shared" si="14"/>
        <v>Cash</v>
      </c>
      <c r="K285" t="s">
        <v>15</v>
      </c>
      <c r="L285">
        <f t="shared" si="15"/>
        <v>1211</v>
      </c>
      <c r="M285" t="str">
        <f t="shared" si="16"/>
        <v>19</v>
      </c>
    </row>
    <row r="286" spans="1:13" x14ac:dyDescent="0.3">
      <c r="A286" t="s">
        <v>297</v>
      </c>
      <c r="B286" t="s">
        <v>127</v>
      </c>
      <c r="C286" s="4" t="s">
        <v>393</v>
      </c>
      <c r="D286" t="s">
        <v>22</v>
      </c>
      <c r="E286" t="s">
        <v>23</v>
      </c>
      <c r="F286">
        <v>2</v>
      </c>
      <c r="G286">
        <v>1111</v>
      </c>
      <c r="H286" t="s">
        <v>67</v>
      </c>
      <c r="I286" t="s">
        <v>25</v>
      </c>
      <c r="J286" t="str">
        <f t="shared" si="14"/>
        <v>Cash</v>
      </c>
      <c r="K286" t="s">
        <v>15</v>
      </c>
      <c r="L286">
        <f t="shared" si="15"/>
        <v>2222</v>
      </c>
      <c r="M286" t="str">
        <f t="shared" si="16"/>
        <v>12</v>
      </c>
    </row>
    <row r="287" spans="1:13" x14ac:dyDescent="0.3">
      <c r="A287" t="s">
        <v>298</v>
      </c>
      <c r="B287" t="s">
        <v>103</v>
      </c>
      <c r="C287" s="4" t="s">
        <v>325</v>
      </c>
      <c r="D287" t="s">
        <v>28</v>
      </c>
      <c r="E287" t="s">
        <v>23</v>
      </c>
      <c r="F287">
        <v>4</v>
      </c>
      <c r="G287">
        <v>1211</v>
      </c>
      <c r="H287" t="s">
        <v>17</v>
      </c>
      <c r="I287" t="s">
        <v>27</v>
      </c>
      <c r="J287" t="str">
        <f t="shared" si="14"/>
        <v>Debit Card</v>
      </c>
      <c r="K287" t="s">
        <v>21</v>
      </c>
      <c r="L287">
        <f t="shared" si="15"/>
        <v>4844</v>
      </c>
      <c r="M287" t="str">
        <f t="shared" si="16"/>
        <v>12</v>
      </c>
    </row>
    <row r="288" spans="1:13" x14ac:dyDescent="0.3">
      <c r="A288" t="s">
        <v>299</v>
      </c>
      <c r="B288" t="s">
        <v>197</v>
      </c>
      <c r="C288" s="4" t="s">
        <v>321</v>
      </c>
      <c r="D288" t="s">
        <v>10</v>
      </c>
      <c r="E288" t="s">
        <v>11</v>
      </c>
      <c r="F288">
        <v>2</v>
      </c>
      <c r="G288">
        <v>42111</v>
      </c>
      <c r="H288" t="s">
        <v>13</v>
      </c>
      <c r="I288" t="s">
        <v>32</v>
      </c>
      <c r="J288" t="str">
        <f t="shared" si="14"/>
        <v>Net Banking</v>
      </c>
      <c r="K288" t="s">
        <v>15</v>
      </c>
      <c r="L288">
        <f t="shared" si="15"/>
        <v>84222</v>
      </c>
      <c r="M288" t="str">
        <f t="shared" si="16"/>
        <v>11</v>
      </c>
    </row>
    <row r="289" spans="1:13" x14ac:dyDescent="0.3">
      <c r="A289" t="s">
        <v>300</v>
      </c>
      <c r="B289" t="s">
        <v>76</v>
      </c>
      <c r="C289" s="4" t="s">
        <v>342</v>
      </c>
      <c r="D289" t="s">
        <v>10</v>
      </c>
      <c r="E289" t="s">
        <v>11</v>
      </c>
      <c r="F289">
        <v>1</v>
      </c>
      <c r="G289">
        <v>31111</v>
      </c>
      <c r="H289" t="s">
        <v>19</v>
      </c>
      <c r="I289" t="s">
        <v>20</v>
      </c>
      <c r="J289" t="str">
        <f t="shared" si="14"/>
        <v>Upi</v>
      </c>
      <c r="K289" t="s">
        <v>18</v>
      </c>
      <c r="L289">
        <f t="shared" si="15"/>
        <v>31111</v>
      </c>
      <c r="M289" t="str">
        <f t="shared" si="16"/>
        <v>18</v>
      </c>
    </row>
    <row r="290" spans="1:13" x14ac:dyDescent="0.3">
      <c r="A290" t="s">
        <v>301</v>
      </c>
      <c r="B290" t="s">
        <v>288</v>
      </c>
      <c r="C290" s="4" t="s">
        <v>320</v>
      </c>
      <c r="D290" t="s">
        <v>36</v>
      </c>
      <c r="E290" t="s">
        <v>23</v>
      </c>
      <c r="F290">
        <v>2</v>
      </c>
      <c r="G290">
        <v>2511</v>
      </c>
      <c r="H290" t="s">
        <v>64</v>
      </c>
      <c r="I290" t="s">
        <v>20</v>
      </c>
      <c r="J290" t="str">
        <f>PROPER(TRIM(I291))</f>
        <v>Credit Card</v>
      </c>
      <c r="K290" t="s">
        <v>15</v>
      </c>
      <c r="L290">
        <f t="shared" si="15"/>
        <v>5022</v>
      </c>
      <c r="M290" t="str">
        <f t="shared" si="16"/>
        <v>11</v>
      </c>
    </row>
    <row r="291" spans="1:13" x14ac:dyDescent="0.3">
      <c r="A291" t="s">
        <v>302</v>
      </c>
      <c r="B291" t="s">
        <v>109</v>
      </c>
      <c r="C291" s="4" t="s">
        <v>354</v>
      </c>
      <c r="D291" t="s">
        <v>16</v>
      </c>
      <c r="E291" t="s">
        <v>11</v>
      </c>
      <c r="F291">
        <v>4</v>
      </c>
      <c r="G291">
        <v>45111</v>
      </c>
      <c r="H291" t="s">
        <v>17</v>
      </c>
      <c r="I291" t="s">
        <v>14</v>
      </c>
      <c r="J291" t="str">
        <f t="shared" si="14"/>
        <v>Credit Card</v>
      </c>
      <c r="K291" t="s">
        <v>15</v>
      </c>
      <c r="L291">
        <f t="shared" si="15"/>
        <v>180444</v>
      </c>
      <c r="M291" t="str">
        <f t="shared" si="16"/>
        <v>11</v>
      </c>
    </row>
    <row r="292" spans="1:13" x14ac:dyDescent="0.3">
      <c r="A292" t="s">
        <v>302</v>
      </c>
      <c r="B292" t="s">
        <v>113</v>
      </c>
      <c r="C292" s="4" t="s">
        <v>444</v>
      </c>
      <c r="D292" t="s">
        <v>28</v>
      </c>
      <c r="E292" t="s">
        <v>23</v>
      </c>
      <c r="F292">
        <v>3</v>
      </c>
      <c r="G292">
        <v>1811</v>
      </c>
      <c r="H292" t="s">
        <v>13</v>
      </c>
      <c r="I292" t="s">
        <v>27</v>
      </c>
      <c r="J292" t="str">
        <f t="shared" si="14"/>
        <v>Debit Card</v>
      </c>
      <c r="K292" t="s">
        <v>15</v>
      </c>
      <c r="L292">
        <f t="shared" si="15"/>
        <v>5433</v>
      </c>
      <c r="M292" t="str">
        <f t="shared" si="16"/>
        <v>15</v>
      </c>
    </row>
    <row r="293" spans="1:13" x14ac:dyDescent="0.3">
      <c r="A293" t="s">
        <v>303</v>
      </c>
      <c r="B293" t="s">
        <v>131</v>
      </c>
      <c r="C293" s="4" t="s">
        <v>368</v>
      </c>
      <c r="D293" t="s">
        <v>28</v>
      </c>
      <c r="E293" t="s">
        <v>23</v>
      </c>
      <c r="F293">
        <v>4</v>
      </c>
      <c r="G293">
        <v>1811</v>
      </c>
      <c r="H293" t="s">
        <v>67</v>
      </c>
      <c r="I293" t="s">
        <v>27</v>
      </c>
      <c r="J293" t="str">
        <f t="shared" si="14"/>
        <v>Debit Card</v>
      </c>
      <c r="K293" t="s">
        <v>18</v>
      </c>
      <c r="L293">
        <f t="shared" si="15"/>
        <v>7244</v>
      </c>
      <c r="M293" t="str">
        <f t="shared" si="16"/>
        <v>11</v>
      </c>
    </row>
    <row r="294" spans="1:13" x14ac:dyDescent="0.3">
      <c r="A294" t="s">
        <v>304</v>
      </c>
      <c r="B294" t="s">
        <v>82</v>
      </c>
      <c r="C294" s="4" t="s">
        <v>432</v>
      </c>
      <c r="D294" t="s">
        <v>30</v>
      </c>
      <c r="E294" t="s">
        <v>31</v>
      </c>
      <c r="F294">
        <v>3</v>
      </c>
      <c r="G294">
        <v>6511</v>
      </c>
      <c r="H294" t="s">
        <v>19</v>
      </c>
      <c r="I294" t="s">
        <v>27</v>
      </c>
      <c r="J294" t="str">
        <f t="shared" si="14"/>
        <v>Debit Card</v>
      </c>
      <c r="K294" t="s">
        <v>18</v>
      </c>
      <c r="L294">
        <f t="shared" si="15"/>
        <v>19533</v>
      </c>
      <c r="M294" t="str">
        <f t="shared" si="16"/>
        <v>15</v>
      </c>
    </row>
    <row r="295" spans="1:13" x14ac:dyDescent="0.3">
      <c r="A295" t="s">
        <v>305</v>
      </c>
      <c r="B295" t="s">
        <v>111</v>
      </c>
      <c r="C295" s="4" t="s">
        <v>354</v>
      </c>
      <c r="D295" t="s">
        <v>36</v>
      </c>
      <c r="E295" t="s">
        <v>23</v>
      </c>
      <c r="F295" t="s">
        <v>65</v>
      </c>
      <c r="G295">
        <v>3511</v>
      </c>
      <c r="H295" t="s">
        <v>13</v>
      </c>
      <c r="I295" t="s">
        <v>27</v>
      </c>
      <c r="J295" t="str">
        <f t="shared" si="14"/>
        <v>Debit Card</v>
      </c>
      <c r="K295" t="s">
        <v>65</v>
      </c>
      <c r="L295" t="e">
        <f t="shared" si="15"/>
        <v>#VALUE!</v>
      </c>
      <c r="M295" t="str">
        <f t="shared" si="16"/>
        <v>11</v>
      </c>
    </row>
    <row r="296" spans="1:13" x14ac:dyDescent="0.3">
      <c r="A296" t="s">
        <v>306</v>
      </c>
      <c r="B296" t="s">
        <v>123</v>
      </c>
      <c r="C296" s="4" t="s">
        <v>321</v>
      </c>
      <c r="D296" t="s">
        <v>28</v>
      </c>
      <c r="E296" t="s">
        <v>23</v>
      </c>
      <c r="F296">
        <v>3</v>
      </c>
      <c r="G296">
        <v>1811</v>
      </c>
      <c r="H296" t="s">
        <v>24</v>
      </c>
      <c r="I296" t="s">
        <v>32</v>
      </c>
      <c r="J296" t="str">
        <f t="shared" si="14"/>
        <v>Net Banking</v>
      </c>
      <c r="K296" t="s">
        <v>21</v>
      </c>
      <c r="L296">
        <f t="shared" si="15"/>
        <v>5433</v>
      </c>
      <c r="M296" t="str">
        <f t="shared" si="16"/>
        <v>11</v>
      </c>
    </row>
    <row r="297" spans="1:13" x14ac:dyDescent="0.3">
      <c r="A297" t="s">
        <v>307</v>
      </c>
      <c r="B297" t="s">
        <v>109</v>
      </c>
      <c r="C297" s="4" t="s">
        <v>319</v>
      </c>
      <c r="D297" t="s">
        <v>30</v>
      </c>
      <c r="E297" t="s">
        <v>31</v>
      </c>
      <c r="F297">
        <v>2</v>
      </c>
      <c r="G297">
        <v>9111</v>
      </c>
      <c r="H297" t="s">
        <v>13</v>
      </c>
      <c r="I297" t="s">
        <v>25</v>
      </c>
      <c r="J297" t="str">
        <f t="shared" si="14"/>
        <v>Cash</v>
      </c>
      <c r="K297" t="s">
        <v>18</v>
      </c>
      <c r="L297">
        <f t="shared" si="15"/>
        <v>18222</v>
      </c>
      <c r="M297" t="str">
        <f t="shared" si="16"/>
        <v>19</v>
      </c>
    </row>
    <row r="298" spans="1:13" x14ac:dyDescent="0.3">
      <c r="A298" t="s">
        <v>308</v>
      </c>
      <c r="B298" t="s">
        <v>82</v>
      </c>
      <c r="C298" s="4" t="s">
        <v>358</v>
      </c>
      <c r="D298" t="s">
        <v>16</v>
      </c>
      <c r="E298" t="s">
        <v>11</v>
      </c>
      <c r="F298">
        <v>2</v>
      </c>
      <c r="G298">
        <v>52111</v>
      </c>
      <c r="H298" t="s">
        <v>35</v>
      </c>
      <c r="I298" t="s">
        <v>14</v>
      </c>
      <c r="J298" t="str">
        <f t="shared" si="14"/>
        <v>Credit Card</v>
      </c>
      <c r="K298" t="s">
        <v>15</v>
      </c>
      <c r="L298">
        <f t="shared" si="15"/>
        <v>104222</v>
      </c>
      <c r="M298" t="str">
        <f t="shared" si="16"/>
        <v>11</v>
      </c>
    </row>
    <row r="299" spans="1:13" x14ac:dyDescent="0.3">
      <c r="A299" t="s">
        <v>309</v>
      </c>
      <c r="B299" t="s">
        <v>74</v>
      </c>
      <c r="C299" s="4" t="s">
        <v>416</v>
      </c>
      <c r="D299" t="s">
        <v>22</v>
      </c>
      <c r="E299" t="s">
        <v>23</v>
      </c>
      <c r="F299">
        <v>3</v>
      </c>
      <c r="G299">
        <v>711</v>
      </c>
      <c r="H299" t="s">
        <v>29</v>
      </c>
      <c r="I299" t="s">
        <v>20</v>
      </c>
      <c r="J299" t="str">
        <f t="shared" si="14"/>
        <v>Upi</v>
      </c>
      <c r="K299" t="s">
        <v>21</v>
      </c>
      <c r="L299">
        <f t="shared" si="15"/>
        <v>2133</v>
      </c>
      <c r="M299" t="str">
        <f t="shared" si="16"/>
        <v>11</v>
      </c>
    </row>
    <row r="300" spans="1:13" x14ac:dyDescent="0.3">
      <c r="A300" t="s">
        <v>310</v>
      </c>
      <c r="B300" t="s">
        <v>207</v>
      </c>
      <c r="C300" s="4" t="s">
        <v>445</v>
      </c>
      <c r="D300" t="s">
        <v>22</v>
      </c>
      <c r="E300" t="s">
        <v>23</v>
      </c>
      <c r="F300">
        <v>3</v>
      </c>
      <c r="G300">
        <v>1111</v>
      </c>
      <c r="H300" t="s">
        <v>19</v>
      </c>
      <c r="I300" t="s">
        <v>38</v>
      </c>
      <c r="J300" t="str">
        <f>PROPER(TRIM(I311))</f>
        <v/>
      </c>
      <c r="K300" t="s">
        <v>18</v>
      </c>
      <c r="L300">
        <f t="shared" si="15"/>
        <v>3333</v>
      </c>
      <c r="M300" t="str">
        <f t="shared" si="16"/>
        <v>14</v>
      </c>
    </row>
    <row r="301" spans="1:13" x14ac:dyDescent="0.3">
      <c r="A301" t="s">
        <v>311</v>
      </c>
      <c r="B301" t="s">
        <v>215</v>
      </c>
      <c r="C301" s="4" t="s">
        <v>446</v>
      </c>
      <c r="D301" t="s">
        <v>30</v>
      </c>
      <c r="E301" t="s">
        <v>31</v>
      </c>
      <c r="F301">
        <v>4</v>
      </c>
      <c r="G301">
        <v>4111</v>
      </c>
      <c r="H301" t="s">
        <v>17</v>
      </c>
      <c r="I301" t="s">
        <v>27</v>
      </c>
      <c r="J301" t="str">
        <f>PROPER(TRIM(I311))</f>
        <v/>
      </c>
      <c r="K301" t="s">
        <v>21</v>
      </c>
      <c r="L301">
        <f t="shared" si="15"/>
        <v>16444</v>
      </c>
      <c r="M301" t="str">
        <f t="shared" si="16"/>
        <v>13</v>
      </c>
    </row>
    <row r="302" spans="1:13" x14ac:dyDescent="0.3">
      <c r="C302" s="4"/>
      <c r="J302" t="str">
        <f t="shared" ref="J302:J303" si="17">PROPER(TRIM(I302))</f>
        <v/>
      </c>
      <c r="L302">
        <f t="shared" si="15"/>
        <v>0</v>
      </c>
      <c r="M302" t="str">
        <f t="shared" ref="M302:M303" si="18">IFERROR(MID(C302,4,2),"")</f>
        <v/>
      </c>
    </row>
    <row r="303" spans="1:13" x14ac:dyDescent="0.3">
      <c r="C303" s="4"/>
      <c r="J303" t="str">
        <f t="shared" si="17"/>
        <v/>
      </c>
      <c r="L303">
        <f t="shared" si="15"/>
        <v>0</v>
      </c>
      <c r="M303" t="str">
        <f t="shared" si="18"/>
        <v/>
      </c>
    </row>
  </sheetData>
  <phoneticPr fontId="3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81C0-77E3-47FE-8679-3871D0E8D053}">
  <dimension ref="A1:B10"/>
  <sheetViews>
    <sheetView topLeftCell="A10" zoomScaleNormal="100" workbookViewId="0">
      <selection activeCell="A3" sqref="A3"/>
    </sheetView>
  </sheetViews>
  <sheetFormatPr defaultRowHeight="14.4" x14ac:dyDescent="0.3"/>
  <cols>
    <col min="1" max="1" width="24.88671875" customWidth="1"/>
    <col min="2" max="2" width="32.5546875" customWidth="1"/>
  </cols>
  <sheetData>
    <row r="1" spans="1:2" x14ac:dyDescent="0.3">
      <c r="A1" t="s">
        <v>450</v>
      </c>
      <c r="B1" t="s">
        <v>451</v>
      </c>
    </row>
    <row r="2" spans="1:2" x14ac:dyDescent="0.3">
      <c r="A2" t="s">
        <v>452</v>
      </c>
      <c r="B2" t="s">
        <v>453</v>
      </c>
    </row>
    <row r="3" spans="1:2" x14ac:dyDescent="0.3">
      <c r="A3" t="s">
        <v>454</v>
      </c>
      <c r="B3" t="s">
        <v>455</v>
      </c>
    </row>
    <row r="4" spans="1:2" x14ac:dyDescent="0.3">
      <c r="A4" t="s">
        <v>7</v>
      </c>
      <c r="B4" t="s">
        <v>456</v>
      </c>
    </row>
    <row r="5" spans="1:2" x14ac:dyDescent="0.3">
      <c r="A5" t="s">
        <v>3</v>
      </c>
      <c r="B5" t="s">
        <v>457</v>
      </c>
    </row>
    <row r="6" spans="1:2" x14ac:dyDescent="0.3">
      <c r="A6" t="s">
        <v>458</v>
      </c>
      <c r="B6" t="s">
        <v>459</v>
      </c>
    </row>
    <row r="7" spans="1:2" x14ac:dyDescent="0.3">
      <c r="A7" t="s">
        <v>5</v>
      </c>
      <c r="B7" t="s">
        <v>460</v>
      </c>
    </row>
    <row r="8" spans="1:2" x14ac:dyDescent="0.3">
      <c r="A8" t="s">
        <v>461</v>
      </c>
      <c r="B8" t="s">
        <v>462</v>
      </c>
    </row>
    <row r="9" spans="1:2" x14ac:dyDescent="0.3">
      <c r="A9" t="s">
        <v>463</v>
      </c>
      <c r="B9" t="s">
        <v>464</v>
      </c>
    </row>
    <row r="10" spans="1:2" x14ac:dyDescent="0.3">
      <c r="A10" t="s">
        <v>465</v>
      </c>
      <c r="B10" t="s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42</v>
      </c>
      <c r="B1" s="1" t="s">
        <v>43</v>
      </c>
    </row>
    <row r="2" spans="1:2" x14ac:dyDescent="0.3">
      <c r="A2" t="s">
        <v>44</v>
      </c>
      <c r="B2" t="s">
        <v>45</v>
      </c>
    </row>
    <row r="3" spans="1:2" x14ac:dyDescent="0.3">
      <c r="A3" t="s">
        <v>46</v>
      </c>
      <c r="B3" t="s">
        <v>47</v>
      </c>
    </row>
    <row r="4" spans="1:2" x14ac:dyDescent="0.3">
      <c r="A4" t="s">
        <v>48</v>
      </c>
      <c r="B4" t="s">
        <v>49</v>
      </c>
    </row>
    <row r="5" spans="1:2" x14ac:dyDescent="0.3">
      <c r="A5" t="s">
        <v>50</v>
      </c>
      <c r="B5" t="s">
        <v>51</v>
      </c>
    </row>
    <row r="6" spans="1:2" x14ac:dyDescent="0.3">
      <c r="A6" t="s">
        <v>52</v>
      </c>
      <c r="B6" t="s">
        <v>53</v>
      </c>
    </row>
    <row r="7" spans="1:2" x14ac:dyDescent="0.3">
      <c r="A7" t="s">
        <v>54</v>
      </c>
      <c r="B7" t="s">
        <v>55</v>
      </c>
    </row>
    <row r="8" spans="1:2" x14ac:dyDescent="0.3">
      <c r="A8" t="s">
        <v>56</v>
      </c>
      <c r="B8" t="s">
        <v>57</v>
      </c>
    </row>
    <row r="9" spans="1:2" x14ac:dyDescent="0.3">
      <c r="A9" t="s">
        <v>58</v>
      </c>
      <c r="B9" t="s">
        <v>59</v>
      </c>
    </row>
    <row r="10" spans="1:2" x14ac:dyDescent="0.3">
      <c r="A10" t="s">
        <v>60</v>
      </c>
      <c r="B10" t="s">
        <v>61</v>
      </c>
    </row>
    <row r="11" spans="1:2" x14ac:dyDescent="0.3">
      <c r="A11" t="s">
        <v>62</v>
      </c>
      <c r="B11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95AE-C7E3-4231-A1AC-B4E43657147F}">
  <dimension ref="A1:W112"/>
  <sheetViews>
    <sheetView tabSelected="1" workbookViewId="0">
      <selection activeCell="M102" sqref="M102"/>
    </sheetView>
  </sheetViews>
  <sheetFormatPr defaultRowHeight="14.4" x14ac:dyDescent="0.3"/>
  <cols>
    <col min="2" max="2" width="10.77734375" customWidth="1"/>
    <col min="3" max="3" width="15.6640625" bestFit="1" customWidth="1"/>
  </cols>
  <sheetData>
    <row r="1" spans="1:3" x14ac:dyDescent="0.3">
      <c r="A1" s="7" t="s">
        <v>467</v>
      </c>
      <c r="B1" s="7" t="s">
        <v>468</v>
      </c>
    </row>
    <row r="2" spans="1:3" ht="46.8" x14ac:dyDescent="0.3">
      <c r="A2" s="9" t="s">
        <v>469</v>
      </c>
      <c r="B2" s="9" t="s">
        <v>470</v>
      </c>
    </row>
    <row r="3" spans="1:3" ht="15.6" x14ac:dyDescent="0.3">
      <c r="A3" s="18" t="s">
        <v>471</v>
      </c>
      <c r="B3" s="19" t="s">
        <v>472</v>
      </c>
      <c r="C3" s="20"/>
    </row>
    <row r="4" spans="1:3" x14ac:dyDescent="0.3">
      <c r="A4" s="18" t="s">
        <v>473</v>
      </c>
      <c r="B4" s="18" t="s">
        <v>474</v>
      </c>
      <c r="C4" s="20"/>
    </row>
    <row r="5" spans="1:3" ht="28.8" x14ac:dyDescent="0.3">
      <c r="A5" s="18" t="s">
        <v>475</v>
      </c>
      <c r="B5" s="18" t="s">
        <v>476</v>
      </c>
      <c r="C5" s="23">
        <f>COUNTA('Raw Data'!A2:A301)</f>
        <v>300</v>
      </c>
    </row>
    <row r="6" spans="1:3" x14ac:dyDescent="0.3">
      <c r="A6" s="18" t="s">
        <v>477</v>
      </c>
      <c r="B6" s="18" t="s">
        <v>465</v>
      </c>
      <c r="C6" s="23">
        <f>_xlfn.AGGREGATE(9,6,'Raw Data'!L2:L301)</f>
        <v>11366007</v>
      </c>
    </row>
    <row r="7" spans="1:3" ht="43.2" x14ac:dyDescent="0.3">
      <c r="A7" s="18" t="s">
        <v>478</v>
      </c>
      <c r="B7" s="18" t="s">
        <v>479</v>
      </c>
      <c r="C7" s="23">
        <f>_xlfn.AGGREGATE(1,6,'Raw Data'!L2:L301)</f>
        <v>38013.401337792639</v>
      </c>
    </row>
    <row r="8" spans="1:3" ht="28.8" x14ac:dyDescent="0.3">
      <c r="A8" s="18" t="s">
        <v>480</v>
      </c>
      <c r="B8" s="18" t="s">
        <v>481</v>
      </c>
      <c r="C8" s="23">
        <f>AVERAGE('Raw Data'!F2:F301)</f>
        <v>2.4455782312925169</v>
      </c>
    </row>
    <row r="9" spans="1:3" ht="28.8" x14ac:dyDescent="0.3">
      <c r="A9" s="18" t="s">
        <v>482</v>
      </c>
      <c r="B9" s="18" t="s">
        <v>483</v>
      </c>
      <c r="C9" s="23">
        <f>_xlfn.AGGREGATE(4,6,'Raw Data'!L2:L301)</f>
        <v>272444</v>
      </c>
    </row>
    <row r="10" spans="1:3" x14ac:dyDescent="0.3">
      <c r="A10" s="18" t="s">
        <v>484</v>
      </c>
      <c r="B10" s="18" t="s">
        <v>485</v>
      </c>
      <c r="C10" s="23">
        <f>_xlfn.AGGREGATE(5,6,'Raw Data'!L2:L301)</f>
        <v>0</v>
      </c>
    </row>
    <row r="11" spans="1:3" ht="28.8" x14ac:dyDescent="0.3">
      <c r="A11" s="18" t="s">
        <v>486</v>
      </c>
      <c r="B11" s="18" t="s">
        <v>487</v>
      </c>
      <c r="C11" s="23">
        <f>_xlfn.AGGREGATE(12,6,'Raw Data'!L2:L301)</f>
        <v>14044</v>
      </c>
    </row>
    <row r="13" spans="1:3" ht="21" x14ac:dyDescent="0.4">
      <c r="A13" s="16" t="s">
        <v>491</v>
      </c>
    </row>
    <row r="14" spans="1:3" x14ac:dyDescent="0.3">
      <c r="A14" s="7" t="s">
        <v>467</v>
      </c>
      <c r="B14" s="7" t="s">
        <v>468</v>
      </c>
      <c r="C14" s="20"/>
    </row>
    <row r="15" spans="1:3" x14ac:dyDescent="0.3">
      <c r="A15" s="7" t="s">
        <v>488</v>
      </c>
      <c r="B15" s="7" t="s">
        <v>4</v>
      </c>
      <c r="C15" s="20"/>
    </row>
    <row r="16" spans="1:3" x14ac:dyDescent="0.3">
      <c r="A16" s="7" t="s">
        <v>489</v>
      </c>
      <c r="B16" s="7" t="s">
        <v>465</v>
      </c>
      <c r="C16" s="20"/>
    </row>
    <row r="17" spans="1:3" x14ac:dyDescent="0.3">
      <c r="A17" s="7" t="s">
        <v>571</v>
      </c>
      <c r="B17" s="20" t="s">
        <v>11</v>
      </c>
      <c r="C17" s="23" cm="1">
        <f t="array" ref="C17">SUMPRODUCT((TRIM('Raw Data'!E2:E301)="Electronics")*IFERROR('Raw Data'!L2:L301,0))</f>
        <v>10303520</v>
      </c>
    </row>
    <row r="18" spans="1:3" x14ac:dyDescent="0.3">
      <c r="A18" s="7" t="s">
        <v>572</v>
      </c>
      <c r="B18" s="20" t="s">
        <v>31</v>
      </c>
      <c r="C18" s="23" cm="1">
        <f t="array" ref="C18">SUMPRODUCT((TRIM('Raw Data'!E2:E301)="Wearables")*IFERROR('Raw Data'!L2:L301,0))</f>
        <v>642387</v>
      </c>
    </row>
    <row r="19" spans="1:3" x14ac:dyDescent="0.3">
      <c r="A19" s="7" t="s">
        <v>573</v>
      </c>
      <c r="B19" s="20" t="s">
        <v>23</v>
      </c>
      <c r="C19" s="23" cm="1">
        <f t="array" ref="C19">SUMPRODUCT((TRIM('Raw Data'!E2:E301)="Accessories")*IFERROR('Raw Data'!L2:L301,0))</f>
        <v>420100</v>
      </c>
    </row>
    <row r="20" spans="1:3" x14ac:dyDescent="0.3">
      <c r="A20" s="7" t="s">
        <v>490</v>
      </c>
      <c r="B20" s="20"/>
      <c r="C20" s="20"/>
    </row>
    <row r="22" spans="1:3" x14ac:dyDescent="0.3">
      <c r="A22" s="7" t="s">
        <v>467</v>
      </c>
      <c r="B22" s="7" t="s">
        <v>492</v>
      </c>
    </row>
    <row r="23" spans="1:3" ht="84" x14ac:dyDescent="0.3">
      <c r="A23" s="22" t="s">
        <v>493</v>
      </c>
      <c r="B23" s="22" t="s">
        <v>494</v>
      </c>
      <c r="C23" s="21"/>
    </row>
    <row r="24" spans="1:3" x14ac:dyDescent="0.3">
      <c r="A24" s="7" t="s">
        <v>495</v>
      </c>
      <c r="B24" s="7" t="s">
        <v>3</v>
      </c>
      <c r="C24" s="20"/>
    </row>
    <row r="25" spans="1:3" x14ac:dyDescent="0.3">
      <c r="A25" s="7" t="s">
        <v>496</v>
      </c>
      <c r="B25" s="7" t="s">
        <v>465</v>
      </c>
      <c r="C25" s="20"/>
    </row>
    <row r="26" spans="1:3" ht="28.8" x14ac:dyDescent="0.3">
      <c r="A26" s="7" t="s">
        <v>497</v>
      </c>
      <c r="B26" s="7" t="s">
        <v>10</v>
      </c>
      <c r="C26" s="23">
        <f>SUMIF('Raw Data'!D2:D301,"Smartphone",'Raw Data'!L2:L301)</f>
        <v>2744389</v>
      </c>
    </row>
    <row r="27" spans="1:3" x14ac:dyDescent="0.3">
      <c r="A27" s="7" t="s">
        <v>498</v>
      </c>
      <c r="B27" s="7" t="s">
        <v>16</v>
      </c>
      <c r="C27" s="23">
        <f>SUMIF('Raw Data'!D2:D301,"Laptop",'Raw Data'!L2:L301)</f>
        <v>5156878</v>
      </c>
    </row>
    <row r="28" spans="1:3" x14ac:dyDescent="0.3">
      <c r="A28" s="7" t="s">
        <v>499</v>
      </c>
      <c r="B28" s="7" t="s">
        <v>22</v>
      </c>
      <c r="C28" s="23">
        <f>SUMIF('Raw Data'!D2:D301,"Mouse",'Raw Data'!L2:L301)</f>
        <v>95297</v>
      </c>
    </row>
    <row r="29" spans="1:3" x14ac:dyDescent="0.3">
      <c r="A29" s="7" t="s">
        <v>500</v>
      </c>
      <c r="B29" s="7" t="s">
        <v>26</v>
      </c>
      <c r="C29" s="24">
        <f>SUMIF('Raw Data'!D2:D301,"Monitor",'Raw Data'!L2:L301)</f>
        <v>1062104</v>
      </c>
    </row>
    <row r="30" spans="1:3" x14ac:dyDescent="0.3">
      <c r="A30" s="7" t="s">
        <v>501</v>
      </c>
      <c r="B30" s="7" t="s">
        <v>28</v>
      </c>
      <c r="C30" s="24">
        <f>SUMIF('Raw Data'!D2:D301,"Keyboard",'Raw Data'!L2:L301)</f>
        <v>128812</v>
      </c>
    </row>
    <row r="31" spans="1:3" ht="28.8" x14ac:dyDescent="0.3">
      <c r="A31" s="7" t="s">
        <v>502</v>
      </c>
      <c r="B31" s="7" t="s">
        <v>30</v>
      </c>
      <c r="C31" s="24">
        <f>SUMIF('Raw Data'!D2:D301,"Smartwatch",'Raw Data'!L2:L301)</f>
        <v>632343</v>
      </c>
    </row>
    <row r="32" spans="1:3" x14ac:dyDescent="0.3">
      <c r="A32" s="7" t="s">
        <v>503</v>
      </c>
      <c r="B32" s="7" t="s">
        <v>34</v>
      </c>
      <c r="C32" s="24">
        <f>SUMIF('Raw Data'!D2:D301,"Tablet",'Raw Data'!L2:L301)</f>
        <v>1313215</v>
      </c>
    </row>
    <row r="33" spans="1:4" ht="28.8" x14ac:dyDescent="0.3">
      <c r="A33" s="7" t="s">
        <v>504</v>
      </c>
      <c r="B33" s="7" t="s">
        <v>36</v>
      </c>
      <c r="C33" s="24" cm="1">
        <f t="array" ref="C33">SUMPRODUCT(--('Raw Data'!D2:D301="Headphones"),IFERROR('Raw Data'!L2:L301,0))</f>
        <v>187636</v>
      </c>
    </row>
    <row r="35" spans="1:4" x14ac:dyDescent="0.3">
      <c r="A35" s="7" t="s">
        <v>467</v>
      </c>
      <c r="B35" s="7" t="s">
        <v>492</v>
      </c>
    </row>
    <row r="36" spans="1:4" ht="84" x14ac:dyDescent="0.3">
      <c r="A36" s="10" t="s">
        <v>505</v>
      </c>
      <c r="B36" s="15" t="s">
        <v>506</v>
      </c>
    </row>
    <row r="37" spans="1:4" x14ac:dyDescent="0.3">
      <c r="A37" s="7" t="s">
        <v>507</v>
      </c>
      <c r="B37" s="7" t="s">
        <v>508</v>
      </c>
      <c r="C37" s="20"/>
    </row>
    <row r="38" spans="1:4" ht="28.8" x14ac:dyDescent="0.3">
      <c r="A38" s="7" t="s">
        <v>509</v>
      </c>
      <c r="B38" s="7" t="s">
        <v>510</v>
      </c>
      <c r="C38" s="20"/>
    </row>
    <row r="39" spans="1:4" x14ac:dyDescent="0.3">
      <c r="A39" s="7" t="s">
        <v>511</v>
      </c>
      <c r="B39" s="7" t="s">
        <v>15</v>
      </c>
      <c r="C39" s="20">
        <f>COUNTIF('Raw Data'!K2:K301,"Completed")</f>
        <v>91</v>
      </c>
    </row>
    <row r="40" spans="1:4" x14ac:dyDescent="0.3">
      <c r="A40" s="7" t="s">
        <v>512</v>
      </c>
      <c r="B40" s="7" t="s">
        <v>18</v>
      </c>
      <c r="C40" s="20">
        <f>COUNTIF('Raw Data'!K2:K301,"Pending")</f>
        <v>101</v>
      </c>
    </row>
    <row r="41" spans="1:4" x14ac:dyDescent="0.3">
      <c r="A41" s="7" t="s">
        <v>513</v>
      </c>
      <c r="B41" s="7" t="s">
        <v>21</v>
      </c>
      <c r="C41" s="20">
        <f>COUNTIF('Raw Data'!K2:K301,"Cancelled")</f>
        <v>103</v>
      </c>
    </row>
    <row r="42" spans="1:4" x14ac:dyDescent="0.3">
      <c r="A42" s="7" t="s">
        <v>514</v>
      </c>
      <c r="B42" s="7" t="s">
        <v>515</v>
      </c>
      <c r="C42" s="20">
        <f>COUNTIF('Raw Data'!K2:K301,"unknown")</f>
        <v>5</v>
      </c>
    </row>
    <row r="43" spans="1:4" x14ac:dyDescent="0.3">
      <c r="A43" s="20"/>
      <c r="B43" s="7" t="s">
        <v>516</v>
      </c>
      <c r="C43" s="20">
        <v>300</v>
      </c>
    </row>
    <row r="44" spans="1:4" x14ac:dyDescent="0.3">
      <c r="A44" s="20"/>
      <c r="B44" s="20"/>
      <c r="C44" s="20"/>
    </row>
    <row r="45" spans="1:4" ht="84" x14ac:dyDescent="0.3">
      <c r="A45" s="10" t="s">
        <v>517</v>
      </c>
      <c r="B45" s="14" t="s">
        <v>518</v>
      </c>
    </row>
    <row r="46" spans="1:4" x14ac:dyDescent="0.3">
      <c r="A46" s="8"/>
    </row>
    <row r="47" spans="1:4" x14ac:dyDescent="0.3">
      <c r="A47" s="7" t="s">
        <v>519</v>
      </c>
      <c r="B47" s="7" t="s">
        <v>7</v>
      </c>
      <c r="C47" s="20"/>
      <c r="D47" s="20"/>
    </row>
    <row r="48" spans="1:4" x14ac:dyDescent="0.3">
      <c r="A48" s="20" t="s">
        <v>520</v>
      </c>
      <c r="B48" s="20" t="s">
        <v>521</v>
      </c>
      <c r="C48" s="20"/>
      <c r="D48" s="20"/>
    </row>
    <row r="49" spans="1:4" x14ac:dyDescent="0.3">
      <c r="A49" s="17" t="s">
        <v>522</v>
      </c>
      <c r="B49" s="17"/>
      <c r="C49" s="25" cm="1">
        <f t="array" ref="C49">SUMPRODUCT(--(TRIM('Raw Data'!H2:H301)="Delhi"),IFERROR('Raw Data'!L2:L301,0))</f>
        <v>1015214</v>
      </c>
      <c r="D49" s="20"/>
    </row>
    <row r="50" spans="1:4" x14ac:dyDescent="0.3">
      <c r="A50" s="17" t="s">
        <v>523</v>
      </c>
      <c r="B50" s="17"/>
      <c r="C50" s="25" cm="1">
        <f t="array" ref="C50">SUMPRODUCT(--(TRIM('Raw Data'!H2:H301)="Mumbai"),IFERROR('Raw Data'!L2:L301,0))</f>
        <v>2093176</v>
      </c>
      <c r="D50" s="20"/>
    </row>
    <row r="51" spans="1:4" x14ac:dyDescent="0.3">
      <c r="A51" s="17" t="s">
        <v>524</v>
      </c>
      <c r="B51" s="17"/>
      <c r="C51" s="25" cm="1">
        <f t="array" ref="C51">SUMPRODUCT(--(TRIM('Raw Data'!H3:H302)="Mumbai"),IFERROR('Raw Data'!L3:L302,0))</f>
        <v>2093176</v>
      </c>
      <c r="D51" s="20"/>
    </row>
    <row r="52" spans="1:4" x14ac:dyDescent="0.3">
      <c r="A52" s="17" t="s">
        <v>525</v>
      </c>
      <c r="B52" s="17"/>
      <c r="C52" s="25" cm="1">
        <f t="array" ref="C52">SUMPRODUCT(--(TRIM('Raw Data'!H4:H303)="Mumbai"),IFERROR('Raw Data'!L4:L303,0))</f>
        <v>1956954</v>
      </c>
      <c r="D52" s="20"/>
    </row>
    <row r="53" spans="1:4" x14ac:dyDescent="0.3">
      <c r="A53" s="17" t="s">
        <v>526</v>
      </c>
      <c r="B53" s="17"/>
      <c r="C53" s="25" cm="1">
        <f t="array" ref="C53">SUMPRODUCT(--(TRIM('Raw Data'!H5:H304)="Mumbai"),IFERROR('Raw Data'!L5:L304,0))</f>
        <v>1956954</v>
      </c>
      <c r="D53" s="20"/>
    </row>
    <row r="54" spans="1:4" x14ac:dyDescent="0.3">
      <c r="A54" s="17" t="s">
        <v>527</v>
      </c>
      <c r="B54" s="17"/>
      <c r="C54" s="25" cm="1">
        <f t="array" ref="C54">SUMPRODUCT(--(TRIM('Raw Data'!H6:H305)="Mumbai"),IFERROR('Raw Data'!L6:L305,0))</f>
        <v>1956954</v>
      </c>
      <c r="D54" s="20"/>
    </row>
    <row r="55" spans="1:4" x14ac:dyDescent="0.3">
      <c r="A55" s="17" t="s">
        <v>528</v>
      </c>
      <c r="B55" s="17"/>
      <c r="C55" s="25" cm="1">
        <f t="array" ref="C55">SUMPRODUCT(--(TRIM('Raw Data'!H7:H306)="Mumbai"),IFERROR('Raw Data'!L7:L306,0))</f>
        <v>1956954</v>
      </c>
      <c r="D55" s="20"/>
    </row>
    <row r="56" spans="1:4" x14ac:dyDescent="0.3">
      <c r="A56" s="17" t="s">
        <v>529</v>
      </c>
      <c r="B56" s="17"/>
      <c r="C56" s="25" cm="1">
        <f t="array" ref="C56">SUMPRODUCT(--(TRIM('Raw Data'!H8:H307)="Mumbai"),IFERROR('Raw Data'!L8:L307,0))</f>
        <v>1956954</v>
      </c>
      <c r="D56" s="20"/>
    </row>
    <row r="57" spans="1:4" x14ac:dyDescent="0.3">
      <c r="A57" s="20"/>
      <c r="B57" s="20"/>
      <c r="C57" s="20"/>
      <c r="D57" s="20"/>
    </row>
    <row r="58" spans="1:4" ht="21" x14ac:dyDescent="0.4">
      <c r="A58" s="11" t="s">
        <v>530</v>
      </c>
    </row>
    <row r="60" spans="1:4" x14ac:dyDescent="0.3">
      <c r="A60" s="17" t="s">
        <v>531</v>
      </c>
      <c r="B60" s="17"/>
      <c r="C60" s="17"/>
    </row>
    <row r="61" spans="1:4" x14ac:dyDescent="0.3">
      <c r="A61" s="17" t="s">
        <v>532</v>
      </c>
      <c r="B61" s="17"/>
      <c r="C61" s="17"/>
    </row>
    <row r="62" spans="1:4" x14ac:dyDescent="0.3">
      <c r="A62" s="17" t="s">
        <v>533</v>
      </c>
      <c r="B62" s="17"/>
      <c r="C62" s="17" cm="1">
        <f t="array" ref="C62">SUMPRODUCT(--(UPPER(TRIM('Raw Data'!I2:I301))="CREDIT CARD"))</f>
        <v>58</v>
      </c>
    </row>
    <row r="63" spans="1:4" x14ac:dyDescent="0.3">
      <c r="A63" s="17" t="s">
        <v>534</v>
      </c>
      <c r="B63" s="17"/>
      <c r="C63" s="17" cm="1">
        <f t="array" ref="C63">SUMPRODUCT(--(UPPER(TRIM('Raw Data'!I3:I302))="CREDIT CARD"))</f>
        <v>57</v>
      </c>
    </row>
    <row r="64" spans="1:4" x14ac:dyDescent="0.3">
      <c r="A64" s="17" t="s">
        <v>535</v>
      </c>
      <c r="B64" s="17"/>
      <c r="C64" s="17">
        <v>51</v>
      </c>
    </row>
    <row r="65" spans="1:3" x14ac:dyDescent="0.3">
      <c r="A65" s="17" t="s">
        <v>536</v>
      </c>
      <c r="B65" s="17"/>
      <c r="C65" s="17">
        <v>65</v>
      </c>
    </row>
    <row r="66" spans="1:3" x14ac:dyDescent="0.3">
      <c r="A66" s="17" t="s">
        <v>537</v>
      </c>
      <c r="B66" s="17"/>
      <c r="C66" s="17">
        <v>63</v>
      </c>
    </row>
    <row r="67" spans="1:3" x14ac:dyDescent="0.3">
      <c r="A67" s="17" t="s">
        <v>538</v>
      </c>
      <c r="B67" s="17"/>
      <c r="C67" s="17">
        <v>6</v>
      </c>
    </row>
    <row r="68" spans="1:3" x14ac:dyDescent="0.3">
      <c r="A68" s="17" t="s">
        <v>539</v>
      </c>
      <c r="B68" s="17"/>
      <c r="C68" s="17">
        <v>300</v>
      </c>
    </row>
    <row r="70" spans="1:3" ht="21" x14ac:dyDescent="0.4">
      <c r="A70" s="13" t="s">
        <v>540</v>
      </c>
    </row>
    <row r="72" spans="1:3" x14ac:dyDescent="0.3">
      <c r="A72" s="20" t="s">
        <v>541</v>
      </c>
      <c r="B72" s="20" t="s">
        <v>465</v>
      </c>
    </row>
    <row r="73" spans="1:3" x14ac:dyDescent="0.3">
      <c r="A73" s="7" t="s">
        <v>541</v>
      </c>
      <c r="B73" s="29" t="s">
        <v>465</v>
      </c>
    </row>
    <row r="74" spans="1:3" x14ac:dyDescent="0.3">
      <c r="A74" s="7" t="s">
        <v>542</v>
      </c>
      <c r="B74" s="30">
        <v>850000</v>
      </c>
    </row>
    <row r="75" spans="1:3" x14ac:dyDescent="0.3">
      <c r="A75" s="7" t="s">
        <v>543</v>
      </c>
      <c r="B75" s="30">
        <v>920000</v>
      </c>
    </row>
    <row r="76" spans="1:3" x14ac:dyDescent="0.3">
      <c r="A76" s="7" t="s">
        <v>544</v>
      </c>
      <c r="B76" s="30">
        <v>780000</v>
      </c>
    </row>
    <row r="77" spans="1:3" x14ac:dyDescent="0.3">
      <c r="A77" s="7" t="s">
        <v>545</v>
      </c>
      <c r="B77" s="30">
        <v>875000</v>
      </c>
    </row>
    <row r="78" spans="1:3" x14ac:dyDescent="0.3">
      <c r="A78" s="7" t="s">
        <v>546</v>
      </c>
      <c r="B78" s="30">
        <v>940000</v>
      </c>
    </row>
    <row r="79" spans="1:3" x14ac:dyDescent="0.3">
      <c r="A79" s="7" t="s">
        <v>547</v>
      </c>
      <c r="B79" s="30">
        <v>810000</v>
      </c>
    </row>
    <row r="80" spans="1:3" x14ac:dyDescent="0.3">
      <c r="A80" s="7" t="s">
        <v>548</v>
      </c>
      <c r="B80" s="30">
        <v>895000</v>
      </c>
    </row>
    <row r="81" spans="1:3" x14ac:dyDescent="0.3">
      <c r="A81" s="7" t="s">
        <v>549</v>
      </c>
      <c r="B81" s="30">
        <v>970000</v>
      </c>
    </row>
    <row r="82" spans="1:3" ht="28.8" x14ac:dyDescent="0.3">
      <c r="A82" s="7" t="s">
        <v>550</v>
      </c>
      <c r="B82" s="30">
        <v>1020000</v>
      </c>
    </row>
    <row r="83" spans="1:3" x14ac:dyDescent="0.3">
      <c r="A83" s="7" t="s">
        <v>551</v>
      </c>
      <c r="B83" s="30">
        <v>930000</v>
      </c>
    </row>
    <row r="84" spans="1:3" ht="28.8" x14ac:dyDescent="0.3">
      <c r="A84" s="7" t="s">
        <v>552</v>
      </c>
      <c r="B84" s="30">
        <v>1080000</v>
      </c>
    </row>
    <row r="85" spans="1:3" ht="28.8" x14ac:dyDescent="0.3">
      <c r="A85" s="7" t="s">
        <v>553</v>
      </c>
      <c r="B85" s="30">
        <v>1296007</v>
      </c>
    </row>
    <row r="86" spans="1:3" ht="21" x14ac:dyDescent="0.4">
      <c r="A86" s="12" t="s">
        <v>555</v>
      </c>
    </row>
    <row r="87" spans="1:3" x14ac:dyDescent="0.3">
      <c r="A87" s="20" t="s">
        <v>556</v>
      </c>
      <c r="B87" s="20" t="s">
        <v>557</v>
      </c>
      <c r="C87" s="20"/>
    </row>
    <row r="88" spans="1:3" x14ac:dyDescent="0.3">
      <c r="A88" s="20" t="s">
        <v>558</v>
      </c>
      <c r="B88" s="20">
        <v>3</v>
      </c>
      <c r="C88" s="20"/>
    </row>
    <row r="89" spans="1:3" x14ac:dyDescent="0.3">
      <c r="A89" s="20" t="s">
        <v>559</v>
      </c>
      <c r="B89" s="20">
        <v>6</v>
      </c>
      <c r="C89" s="20"/>
    </row>
    <row r="90" spans="1:3" x14ac:dyDescent="0.3">
      <c r="A90" s="20" t="s">
        <v>560</v>
      </c>
      <c r="B90" s="20">
        <v>2</v>
      </c>
      <c r="C90" s="20"/>
    </row>
    <row r="91" spans="1:3" x14ac:dyDescent="0.3">
      <c r="A91" s="20" t="s">
        <v>561</v>
      </c>
      <c r="B91" s="20">
        <v>5</v>
      </c>
      <c r="C91" s="20"/>
    </row>
    <row r="92" spans="1:3" x14ac:dyDescent="0.3">
      <c r="A92" s="20" t="s">
        <v>562</v>
      </c>
      <c r="B92" s="20" t="s">
        <v>563</v>
      </c>
      <c r="C92" s="20"/>
    </row>
    <row r="93" spans="1:3" x14ac:dyDescent="0.3">
      <c r="A93" s="20" t="s">
        <v>564</v>
      </c>
      <c r="B93" s="20">
        <v>3</v>
      </c>
      <c r="C93" s="20"/>
    </row>
    <row r="96" spans="1:3" ht="21" x14ac:dyDescent="0.4">
      <c r="A96" s="11" t="s">
        <v>565</v>
      </c>
    </row>
    <row r="97" spans="1:23" x14ac:dyDescent="0.3">
      <c r="A97" s="17" t="s">
        <v>472</v>
      </c>
      <c r="B97" s="17" t="s">
        <v>474</v>
      </c>
      <c r="C97" s="17"/>
    </row>
    <row r="98" spans="1:23" x14ac:dyDescent="0.3">
      <c r="A98" s="17" t="s">
        <v>566</v>
      </c>
      <c r="B98" s="17"/>
      <c r="C98" s="17" cm="1">
        <f t="array" ref="C98">_xlfn.QUARTILE.INC(IFERROR('Raw Data'!L2:L301,0),1)</f>
        <v>3333</v>
      </c>
    </row>
    <row r="99" spans="1:23" x14ac:dyDescent="0.3">
      <c r="A99" s="17" t="s">
        <v>567</v>
      </c>
      <c r="B99" s="17"/>
      <c r="C99" s="17" cm="1">
        <f t="array" ref="C99">_xlfn.QUARTILE.INC(IFERROR('Raw Data'!L2:L301,0),3)</f>
        <v>50694.25</v>
      </c>
    </row>
    <row r="100" spans="1:23" x14ac:dyDescent="0.3">
      <c r="A100" s="17" t="s">
        <v>568</v>
      </c>
      <c r="B100" s="17"/>
      <c r="C100" s="17">
        <f>50694.25-3333</f>
        <v>47361.25</v>
      </c>
    </row>
    <row r="101" spans="1:23" x14ac:dyDescent="0.3">
      <c r="A101" s="17" t="s">
        <v>569</v>
      </c>
      <c r="B101" s="17"/>
      <c r="C101" s="17">
        <f>50694.25+(1.5*47361.25)</f>
        <v>121736.125</v>
      </c>
    </row>
    <row r="102" spans="1:23" x14ac:dyDescent="0.3">
      <c r="A102" s="17" t="s">
        <v>570</v>
      </c>
      <c r="B102" s="17"/>
      <c r="C102" s="17">
        <f>COUNTIF('Raw Data'!L2:L301,"&gt;121736.125")</f>
        <v>32</v>
      </c>
    </row>
    <row r="104" spans="1:23" ht="70.2" x14ac:dyDescent="0.45">
      <c r="A104" s="26" t="s">
        <v>574</v>
      </c>
    </row>
    <row r="105" spans="1:23" ht="18" x14ac:dyDescent="0.35">
      <c r="A105" s="27" t="s">
        <v>578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</row>
    <row r="106" spans="1:23" ht="18" x14ac:dyDescent="0.35">
      <c r="A106" s="27" t="s">
        <v>575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</row>
    <row r="107" spans="1:23" ht="18" x14ac:dyDescent="0.35">
      <c r="A107" s="27" t="s">
        <v>576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</row>
    <row r="108" spans="1:23" ht="18" x14ac:dyDescent="0.35">
      <c r="A108" s="27" t="s">
        <v>577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</row>
    <row r="109" spans="1:23" ht="18" x14ac:dyDescent="0.35">
      <c r="A109" s="27" t="s">
        <v>579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</row>
    <row r="110" spans="1:23" ht="18" x14ac:dyDescent="0.35">
      <c r="A110" s="27" t="s">
        <v>582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</row>
    <row r="111" spans="1:23" ht="23.4" x14ac:dyDescent="0.45">
      <c r="A111" s="28" t="s">
        <v>580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</row>
    <row r="112" spans="1:23" ht="18" x14ac:dyDescent="0.35">
      <c r="A112" s="27" t="s">
        <v>581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</row>
  </sheetData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cleaning summary</vt:lpstr>
      <vt:lpstr>Learning Guide</vt:lpstr>
      <vt:lpstr>EDA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Fejaan Rathore</cp:lastModifiedBy>
  <dcterms:created xsi:type="dcterms:W3CDTF">2026-09-15T09:20:45Z</dcterms:created>
  <dcterms:modified xsi:type="dcterms:W3CDTF">2026-09-20T12:00:27Z</dcterms:modified>
</cp:coreProperties>
</file>